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filterPrivacy="1" codeName="ThisWorkbook" hidePivotFieldList="1"/>
  <xr:revisionPtr revIDLastSave="608" documentId="13_ncr:1_{7FC1175E-3544-4F7B-B172-FD049D97A7E9}" xr6:coauthVersionLast="47" xr6:coauthVersionMax="47" xr10:uidLastSave="{AD2AEFD4-092A-4FB1-A367-02044C2D1FC5}"/>
  <bookViews>
    <workbookView minimized="1" xWindow="7300" yWindow="4320" windowWidth="2850" windowHeight="1450" firstSheet="1" activeTab="1" xr2:uid="{00000000-000D-0000-FFFF-FFFF00000000}"/>
  </bookViews>
  <sheets>
    <sheet name="PQCDSM" sheetId="1" r:id="rId1"/>
    <sheet name="PARETO" sheetId="4" r:id="rId2"/>
    <sheet name="Backup Machine" sheetId="5" r:id="rId3"/>
    <sheet name="back office" sheetId="3" state="hidden" r:id="rId4"/>
  </sheets>
  <externalReferences>
    <externalReference r:id="rId5"/>
    <externalReference r:id="rId6"/>
    <externalReference r:id="rId7"/>
  </externalReferences>
  <definedNames>
    <definedName name="_xlnm._FilterDatabase" localSheetId="2" hidden="1">'Backup Machine'!$A$1:$E$164</definedName>
    <definedName name="_xlnm._FilterDatabase" localSheetId="1" hidden="1">PARETO!$A$1:$C$1</definedName>
    <definedName name="_xlnm._FilterDatabase" localSheetId="0" hidden="1">PQCDSM!$A$9:$AO$172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" i="1" l="1"/>
  <c r="AK13" i="1"/>
  <c r="AK12" i="1"/>
  <c r="AK10" i="1"/>
  <c r="K6" i="1"/>
  <c r="AO172" i="1" l="1"/>
  <c r="AK172" i="1"/>
  <c r="AM172" i="1" s="1"/>
  <c r="AH172" i="1"/>
  <c r="AE172" i="1"/>
  <c r="AD172" i="1"/>
  <c r="AC172" i="1"/>
  <c r="AB172" i="1"/>
  <c r="V172" i="1"/>
  <c r="U172" i="1"/>
  <c r="T172" i="1"/>
  <c r="O172" i="1"/>
  <c r="N172" i="1"/>
  <c r="M172" i="1"/>
  <c r="L172" i="1"/>
  <c r="K172" i="1"/>
  <c r="J172" i="1"/>
  <c r="AO171" i="1"/>
  <c r="AK171" i="1"/>
  <c r="AM171" i="1" s="1"/>
  <c r="AH171" i="1"/>
  <c r="AE171" i="1"/>
  <c r="AD171" i="1"/>
  <c r="AC171" i="1"/>
  <c r="AB171" i="1"/>
  <c r="V171" i="1"/>
  <c r="U171" i="1"/>
  <c r="T171" i="1"/>
  <c r="O171" i="1"/>
  <c r="N171" i="1"/>
  <c r="M171" i="1"/>
  <c r="L171" i="1"/>
  <c r="K171" i="1"/>
  <c r="J171" i="1"/>
  <c r="AO170" i="1"/>
  <c r="AK170" i="1"/>
  <c r="AM170" i="1" s="1"/>
  <c r="AH170" i="1"/>
  <c r="AE170" i="1"/>
  <c r="AD170" i="1"/>
  <c r="AC170" i="1"/>
  <c r="AB170" i="1"/>
  <c r="V170" i="1"/>
  <c r="U170" i="1"/>
  <c r="T170" i="1"/>
  <c r="O170" i="1"/>
  <c r="N170" i="1"/>
  <c r="M170" i="1"/>
  <c r="L170" i="1"/>
  <c r="K170" i="1"/>
  <c r="J170" i="1"/>
  <c r="AO169" i="1"/>
  <c r="AK169" i="1"/>
  <c r="AM169" i="1" s="1"/>
  <c r="AH169" i="1"/>
  <c r="AE169" i="1"/>
  <c r="AD169" i="1"/>
  <c r="AC169" i="1"/>
  <c r="AB169" i="1"/>
  <c r="V169" i="1"/>
  <c r="U169" i="1"/>
  <c r="T169" i="1"/>
  <c r="O169" i="1"/>
  <c r="N169" i="1"/>
  <c r="M169" i="1"/>
  <c r="L169" i="1"/>
  <c r="K169" i="1"/>
  <c r="J169" i="1"/>
  <c r="AO168" i="1"/>
  <c r="AK168" i="1"/>
  <c r="AM168" i="1" s="1"/>
  <c r="AH168" i="1"/>
  <c r="AE168" i="1"/>
  <c r="AD168" i="1"/>
  <c r="AC168" i="1"/>
  <c r="AB168" i="1"/>
  <c r="V168" i="1"/>
  <c r="U168" i="1"/>
  <c r="T168" i="1"/>
  <c r="O168" i="1"/>
  <c r="N168" i="1"/>
  <c r="M168" i="1"/>
  <c r="L168" i="1"/>
  <c r="K168" i="1"/>
  <c r="J168" i="1"/>
  <c r="AO167" i="1"/>
  <c r="AK167" i="1"/>
  <c r="AM167" i="1" s="1"/>
  <c r="AH167" i="1"/>
  <c r="AE167" i="1"/>
  <c r="AD167" i="1"/>
  <c r="AC167" i="1"/>
  <c r="AB167" i="1"/>
  <c r="V167" i="1"/>
  <c r="U167" i="1"/>
  <c r="T167" i="1"/>
  <c r="O167" i="1"/>
  <c r="N167" i="1"/>
  <c r="M167" i="1"/>
  <c r="L167" i="1"/>
  <c r="K167" i="1"/>
  <c r="J167" i="1"/>
  <c r="AO166" i="1"/>
  <c r="AK166" i="1"/>
  <c r="AM166" i="1" s="1"/>
  <c r="AH166" i="1"/>
  <c r="AE166" i="1"/>
  <c r="AD166" i="1"/>
  <c r="AC166" i="1"/>
  <c r="AF166" i="1" s="1"/>
  <c r="AB166" i="1"/>
  <c r="V166" i="1"/>
  <c r="U166" i="1"/>
  <c r="T166" i="1"/>
  <c r="O166" i="1"/>
  <c r="N166" i="1"/>
  <c r="M166" i="1"/>
  <c r="L166" i="1"/>
  <c r="K166" i="1"/>
  <c r="J166" i="1"/>
  <c r="AO165" i="1"/>
  <c r="AK165" i="1"/>
  <c r="AM165" i="1" s="1"/>
  <c r="AH165" i="1"/>
  <c r="AE165" i="1"/>
  <c r="AD165" i="1"/>
  <c r="AC165" i="1"/>
  <c r="AB165" i="1"/>
  <c r="V165" i="1"/>
  <c r="U165" i="1"/>
  <c r="T165" i="1"/>
  <c r="O165" i="1"/>
  <c r="N165" i="1"/>
  <c r="M165" i="1"/>
  <c r="L165" i="1"/>
  <c r="K165" i="1"/>
  <c r="J165" i="1"/>
  <c r="AO164" i="1"/>
  <c r="AK164" i="1"/>
  <c r="AM164" i="1" s="1"/>
  <c r="AH164" i="1"/>
  <c r="AE164" i="1"/>
  <c r="AD164" i="1"/>
  <c r="AC164" i="1"/>
  <c r="AB164" i="1"/>
  <c r="V164" i="1"/>
  <c r="U164" i="1"/>
  <c r="T164" i="1"/>
  <c r="O164" i="1"/>
  <c r="N164" i="1"/>
  <c r="M164" i="1"/>
  <c r="L164" i="1"/>
  <c r="K164" i="1"/>
  <c r="J164" i="1"/>
  <c r="AO163" i="1"/>
  <c r="AK163" i="1"/>
  <c r="AM163" i="1" s="1"/>
  <c r="AH163" i="1"/>
  <c r="AE163" i="1"/>
  <c r="AD163" i="1"/>
  <c r="AC163" i="1"/>
  <c r="AB163" i="1"/>
  <c r="V163" i="1"/>
  <c r="U163" i="1"/>
  <c r="T163" i="1"/>
  <c r="O163" i="1"/>
  <c r="N163" i="1"/>
  <c r="M163" i="1"/>
  <c r="L163" i="1"/>
  <c r="K163" i="1"/>
  <c r="J163" i="1"/>
  <c r="AO162" i="1"/>
  <c r="AK162" i="1"/>
  <c r="AM162" i="1" s="1"/>
  <c r="AH162" i="1"/>
  <c r="AE162" i="1"/>
  <c r="AD162" i="1"/>
  <c r="AC162" i="1"/>
  <c r="AB162" i="1"/>
  <c r="V162" i="1"/>
  <c r="U162" i="1"/>
  <c r="T162" i="1"/>
  <c r="O162" i="1"/>
  <c r="N162" i="1"/>
  <c r="M162" i="1"/>
  <c r="L162" i="1"/>
  <c r="K162" i="1"/>
  <c r="J162" i="1"/>
  <c r="AO161" i="1"/>
  <c r="AK161" i="1"/>
  <c r="AM161" i="1" s="1"/>
  <c r="AH161" i="1"/>
  <c r="AE161" i="1"/>
  <c r="AD161" i="1"/>
  <c r="AC161" i="1"/>
  <c r="AB161" i="1"/>
  <c r="V161" i="1"/>
  <c r="U161" i="1"/>
  <c r="T161" i="1"/>
  <c r="O161" i="1"/>
  <c r="N161" i="1"/>
  <c r="M161" i="1"/>
  <c r="L161" i="1"/>
  <c r="K161" i="1"/>
  <c r="J161" i="1"/>
  <c r="AO160" i="1"/>
  <c r="AK160" i="1"/>
  <c r="AM160" i="1" s="1"/>
  <c r="AH160" i="1"/>
  <c r="AE160" i="1"/>
  <c r="AD160" i="1"/>
  <c r="AC160" i="1"/>
  <c r="AB160" i="1"/>
  <c r="V160" i="1"/>
  <c r="U160" i="1"/>
  <c r="T160" i="1"/>
  <c r="O160" i="1"/>
  <c r="N160" i="1"/>
  <c r="M160" i="1"/>
  <c r="L160" i="1"/>
  <c r="K160" i="1"/>
  <c r="J160" i="1"/>
  <c r="J117" i="1"/>
  <c r="K117" i="1"/>
  <c r="L117" i="1"/>
  <c r="M117" i="1"/>
  <c r="N117" i="1"/>
  <c r="O117" i="1"/>
  <c r="T117" i="1"/>
  <c r="U117" i="1"/>
  <c r="V117" i="1"/>
  <c r="AB117" i="1"/>
  <c r="AC117" i="1"/>
  <c r="AD117" i="1"/>
  <c r="AE117" i="1"/>
  <c r="AH117" i="1"/>
  <c r="AK117" i="1"/>
  <c r="AM117" i="1" s="1"/>
  <c r="AO117" i="1"/>
  <c r="J118" i="1"/>
  <c r="K118" i="1"/>
  <c r="L118" i="1"/>
  <c r="M118" i="1"/>
  <c r="N118" i="1"/>
  <c r="O118" i="1"/>
  <c r="T118" i="1"/>
  <c r="U118" i="1"/>
  <c r="V118" i="1"/>
  <c r="AB118" i="1"/>
  <c r="AC118" i="1"/>
  <c r="AD118" i="1"/>
  <c r="AE118" i="1"/>
  <c r="AH118" i="1"/>
  <c r="AK118" i="1"/>
  <c r="AM118" i="1" s="1"/>
  <c r="AO118" i="1"/>
  <c r="J67" i="1"/>
  <c r="K67" i="1"/>
  <c r="L67" i="1"/>
  <c r="M67" i="1"/>
  <c r="N67" i="1"/>
  <c r="O67" i="1"/>
  <c r="T67" i="1"/>
  <c r="U67" i="1"/>
  <c r="V67" i="1"/>
  <c r="AB67" i="1"/>
  <c r="AC67" i="1"/>
  <c r="AD67" i="1"/>
  <c r="AE67" i="1"/>
  <c r="AH67" i="1"/>
  <c r="AK67" i="1"/>
  <c r="AM67" i="1" s="1"/>
  <c r="AO67" i="1"/>
  <c r="J68" i="1"/>
  <c r="K68" i="1"/>
  <c r="L68" i="1"/>
  <c r="M68" i="1"/>
  <c r="N68" i="1"/>
  <c r="O68" i="1"/>
  <c r="T68" i="1"/>
  <c r="U68" i="1"/>
  <c r="V68" i="1"/>
  <c r="AB68" i="1"/>
  <c r="AC68" i="1"/>
  <c r="AD68" i="1"/>
  <c r="AE68" i="1"/>
  <c r="AH68" i="1"/>
  <c r="AK68" i="1"/>
  <c r="AM68" i="1" s="1"/>
  <c r="AO68" i="1"/>
  <c r="J69" i="1"/>
  <c r="K69" i="1"/>
  <c r="L69" i="1"/>
  <c r="M69" i="1"/>
  <c r="N69" i="1"/>
  <c r="O69" i="1"/>
  <c r="T69" i="1"/>
  <c r="U69" i="1"/>
  <c r="V69" i="1"/>
  <c r="AB69" i="1"/>
  <c r="AC69" i="1"/>
  <c r="AD69" i="1"/>
  <c r="AE69" i="1"/>
  <c r="AH69" i="1"/>
  <c r="AK69" i="1"/>
  <c r="AM69" i="1" s="1"/>
  <c r="AO69" i="1"/>
  <c r="J70" i="1"/>
  <c r="K70" i="1"/>
  <c r="L70" i="1"/>
  <c r="M70" i="1"/>
  <c r="N70" i="1"/>
  <c r="O70" i="1"/>
  <c r="T70" i="1"/>
  <c r="U70" i="1"/>
  <c r="V70" i="1"/>
  <c r="AB70" i="1"/>
  <c r="AC70" i="1"/>
  <c r="AD70" i="1"/>
  <c r="AE70" i="1"/>
  <c r="AH70" i="1"/>
  <c r="AK70" i="1"/>
  <c r="AM70" i="1" s="1"/>
  <c r="AO70" i="1"/>
  <c r="J71" i="1"/>
  <c r="K71" i="1"/>
  <c r="L71" i="1"/>
  <c r="M71" i="1"/>
  <c r="N71" i="1"/>
  <c r="O71" i="1"/>
  <c r="T71" i="1"/>
  <c r="U71" i="1"/>
  <c r="V71" i="1"/>
  <c r="AB71" i="1"/>
  <c r="AC71" i="1"/>
  <c r="AD71" i="1"/>
  <c r="AE71" i="1"/>
  <c r="AH71" i="1"/>
  <c r="AK71" i="1"/>
  <c r="AM71" i="1" s="1"/>
  <c r="AO71" i="1"/>
  <c r="J72" i="1"/>
  <c r="K72" i="1"/>
  <c r="L72" i="1"/>
  <c r="M72" i="1"/>
  <c r="N72" i="1"/>
  <c r="O72" i="1"/>
  <c r="T72" i="1"/>
  <c r="U72" i="1"/>
  <c r="V72" i="1"/>
  <c r="AB72" i="1"/>
  <c r="AC72" i="1"/>
  <c r="AD72" i="1"/>
  <c r="AE72" i="1"/>
  <c r="AH72" i="1"/>
  <c r="AK72" i="1"/>
  <c r="AM72" i="1" s="1"/>
  <c r="AO72" i="1"/>
  <c r="J73" i="1"/>
  <c r="K73" i="1"/>
  <c r="L73" i="1"/>
  <c r="M73" i="1"/>
  <c r="N73" i="1"/>
  <c r="O73" i="1"/>
  <c r="T73" i="1"/>
  <c r="U73" i="1"/>
  <c r="V73" i="1"/>
  <c r="AB73" i="1"/>
  <c r="AC73" i="1"/>
  <c r="AD73" i="1"/>
  <c r="AE73" i="1"/>
  <c r="AH73" i="1"/>
  <c r="AK73" i="1"/>
  <c r="AM73" i="1" s="1"/>
  <c r="AO73" i="1"/>
  <c r="J74" i="1"/>
  <c r="K74" i="1"/>
  <c r="L74" i="1"/>
  <c r="M74" i="1"/>
  <c r="N74" i="1"/>
  <c r="O74" i="1"/>
  <c r="T74" i="1"/>
  <c r="U74" i="1"/>
  <c r="V74" i="1"/>
  <c r="AB74" i="1"/>
  <c r="AC74" i="1"/>
  <c r="AD74" i="1"/>
  <c r="AE74" i="1"/>
  <c r="AH74" i="1"/>
  <c r="AK74" i="1"/>
  <c r="AM74" i="1" s="1"/>
  <c r="AO74" i="1"/>
  <c r="J75" i="1"/>
  <c r="K75" i="1"/>
  <c r="L75" i="1"/>
  <c r="M75" i="1"/>
  <c r="N75" i="1"/>
  <c r="O75" i="1"/>
  <c r="T75" i="1"/>
  <c r="U75" i="1"/>
  <c r="V75" i="1"/>
  <c r="AB75" i="1"/>
  <c r="AC75" i="1"/>
  <c r="AD75" i="1"/>
  <c r="AE75" i="1"/>
  <c r="AH75" i="1"/>
  <c r="AK75" i="1"/>
  <c r="AM75" i="1" s="1"/>
  <c r="AO75" i="1"/>
  <c r="J76" i="1"/>
  <c r="K76" i="1"/>
  <c r="L76" i="1"/>
  <c r="M76" i="1"/>
  <c r="N76" i="1"/>
  <c r="O76" i="1"/>
  <c r="T76" i="1"/>
  <c r="U76" i="1"/>
  <c r="V76" i="1"/>
  <c r="AB76" i="1"/>
  <c r="AC76" i="1"/>
  <c r="AD76" i="1"/>
  <c r="AE76" i="1"/>
  <c r="AH76" i="1"/>
  <c r="AK76" i="1"/>
  <c r="AM76" i="1" s="1"/>
  <c r="AO76" i="1"/>
  <c r="J77" i="1"/>
  <c r="K77" i="1"/>
  <c r="L77" i="1"/>
  <c r="M77" i="1"/>
  <c r="N77" i="1"/>
  <c r="O77" i="1"/>
  <c r="T77" i="1"/>
  <c r="U77" i="1"/>
  <c r="V77" i="1"/>
  <c r="AB77" i="1"/>
  <c r="AC77" i="1"/>
  <c r="AD77" i="1"/>
  <c r="AE77" i="1"/>
  <c r="AH77" i="1"/>
  <c r="AK77" i="1"/>
  <c r="AM77" i="1" s="1"/>
  <c r="AO77" i="1"/>
  <c r="J78" i="1"/>
  <c r="K78" i="1"/>
  <c r="L78" i="1"/>
  <c r="M78" i="1"/>
  <c r="N78" i="1"/>
  <c r="O78" i="1"/>
  <c r="T78" i="1"/>
  <c r="U78" i="1"/>
  <c r="V78" i="1"/>
  <c r="AB78" i="1"/>
  <c r="AC78" i="1"/>
  <c r="AD78" i="1"/>
  <c r="AE78" i="1"/>
  <c r="AH78" i="1"/>
  <c r="AK78" i="1"/>
  <c r="AM78" i="1" s="1"/>
  <c r="AO78" i="1"/>
  <c r="J79" i="1"/>
  <c r="K79" i="1"/>
  <c r="L79" i="1"/>
  <c r="M79" i="1"/>
  <c r="N79" i="1"/>
  <c r="O79" i="1"/>
  <c r="T79" i="1"/>
  <c r="U79" i="1"/>
  <c r="V79" i="1"/>
  <c r="AB79" i="1"/>
  <c r="AC79" i="1"/>
  <c r="AD79" i="1"/>
  <c r="AE79" i="1"/>
  <c r="AH79" i="1"/>
  <c r="AK79" i="1"/>
  <c r="AM79" i="1" s="1"/>
  <c r="AO79" i="1"/>
  <c r="J80" i="1"/>
  <c r="K80" i="1"/>
  <c r="L80" i="1"/>
  <c r="M80" i="1"/>
  <c r="N80" i="1"/>
  <c r="O80" i="1"/>
  <c r="T80" i="1"/>
  <c r="U80" i="1"/>
  <c r="V80" i="1"/>
  <c r="AB80" i="1"/>
  <c r="AC80" i="1"/>
  <c r="AD80" i="1"/>
  <c r="AE80" i="1"/>
  <c r="AH80" i="1"/>
  <c r="AK80" i="1"/>
  <c r="AM80" i="1" s="1"/>
  <c r="AO80" i="1"/>
  <c r="J81" i="1"/>
  <c r="K81" i="1"/>
  <c r="L81" i="1"/>
  <c r="M81" i="1"/>
  <c r="N81" i="1"/>
  <c r="O81" i="1"/>
  <c r="T81" i="1"/>
  <c r="U81" i="1"/>
  <c r="V81" i="1"/>
  <c r="AB81" i="1"/>
  <c r="AC81" i="1"/>
  <c r="AD81" i="1"/>
  <c r="AE81" i="1"/>
  <c r="AH81" i="1"/>
  <c r="AK81" i="1"/>
  <c r="AM81" i="1" s="1"/>
  <c r="AO81" i="1"/>
  <c r="J82" i="1"/>
  <c r="K82" i="1"/>
  <c r="L82" i="1"/>
  <c r="M82" i="1"/>
  <c r="N82" i="1"/>
  <c r="O82" i="1"/>
  <c r="T82" i="1"/>
  <c r="U82" i="1"/>
  <c r="V82" i="1"/>
  <c r="AB82" i="1"/>
  <c r="AC82" i="1"/>
  <c r="AD82" i="1"/>
  <c r="AE82" i="1"/>
  <c r="AH82" i="1"/>
  <c r="AK82" i="1"/>
  <c r="AM82" i="1" s="1"/>
  <c r="AO82" i="1"/>
  <c r="J83" i="1"/>
  <c r="K83" i="1"/>
  <c r="L83" i="1"/>
  <c r="M83" i="1"/>
  <c r="N83" i="1"/>
  <c r="O83" i="1"/>
  <c r="T83" i="1"/>
  <c r="U83" i="1"/>
  <c r="V83" i="1"/>
  <c r="AB83" i="1"/>
  <c r="AC83" i="1"/>
  <c r="AD83" i="1"/>
  <c r="AE83" i="1"/>
  <c r="AH83" i="1"/>
  <c r="AK83" i="1"/>
  <c r="AM83" i="1" s="1"/>
  <c r="AO83" i="1"/>
  <c r="J84" i="1"/>
  <c r="K84" i="1"/>
  <c r="L84" i="1"/>
  <c r="M84" i="1"/>
  <c r="N84" i="1"/>
  <c r="O84" i="1"/>
  <c r="T84" i="1"/>
  <c r="U84" i="1"/>
  <c r="V84" i="1"/>
  <c r="AB84" i="1"/>
  <c r="AC84" i="1"/>
  <c r="AD84" i="1"/>
  <c r="AE84" i="1"/>
  <c r="AH84" i="1"/>
  <c r="AK84" i="1"/>
  <c r="AM84" i="1" s="1"/>
  <c r="AO84" i="1"/>
  <c r="J85" i="1"/>
  <c r="K85" i="1"/>
  <c r="L85" i="1"/>
  <c r="M85" i="1"/>
  <c r="N85" i="1"/>
  <c r="O85" i="1"/>
  <c r="T85" i="1"/>
  <c r="U85" i="1"/>
  <c r="V85" i="1"/>
  <c r="AB85" i="1"/>
  <c r="AC85" i="1"/>
  <c r="AD85" i="1"/>
  <c r="AE85" i="1"/>
  <c r="AH85" i="1"/>
  <c r="AK85" i="1"/>
  <c r="AM85" i="1" s="1"/>
  <c r="AO85" i="1"/>
  <c r="J86" i="1"/>
  <c r="K86" i="1"/>
  <c r="L86" i="1"/>
  <c r="M86" i="1"/>
  <c r="N86" i="1"/>
  <c r="O86" i="1"/>
  <c r="T86" i="1"/>
  <c r="U86" i="1"/>
  <c r="V86" i="1"/>
  <c r="AB86" i="1"/>
  <c r="AC86" i="1"/>
  <c r="AD86" i="1"/>
  <c r="AE86" i="1"/>
  <c r="AH86" i="1"/>
  <c r="AK86" i="1"/>
  <c r="AM86" i="1" s="1"/>
  <c r="AO86" i="1"/>
  <c r="J87" i="1"/>
  <c r="K87" i="1"/>
  <c r="L87" i="1"/>
  <c r="M87" i="1"/>
  <c r="N87" i="1"/>
  <c r="O87" i="1"/>
  <c r="T87" i="1"/>
  <c r="U87" i="1"/>
  <c r="V87" i="1"/>
  <c r="AB87" i="1"/>
  <c r="AC87" i="1"/>
  <c r="AD87" i="1"/>
  <c r="AE87" i="1"/>
  <c r="AH87" i="1"/>
  <c r="AK87" i="1"/>
  <c r="AM87" i="1" s="1"/>
  <c r="AO87" i="1"/>
  <c r="J88" i="1"/>
  <c r="K88" i="1"/>
  <c r="L88" i="1"/>
  <c r="M88" i="1"/>
  <c r="N88" i="1"/>
  <c r="O88" i="1"/>
  <c r="T88" i="1"/>
  <c r="U88" i="1"/>
  <c r="V88" i="1"/>
  <c r="AB88" i="1"/>
  <c r="AC88" i="1"/>
  <c r="AD88" i="1"/>
  <c r="AE88" i="1"/>
  <c r="AH88" i="1"/>
  <c r="AK88" i="1"/>
  <c r="AM88" i="1" s="1"/>
  <c r="AO88" i="1"/>
  <c r="J89" i="1"/>
  <c r="K89" i="1"/>
  <c r="L89" i="1"/>
  <c r="M89" i="1"/>
  <c r="N89" i="1"/>
  <c r="O89" i="1"/>
  <c r="T89" i="1"/>
  <c r="U89" i="1"/>
  <c r="V89" i="1"/>
  <c r="AB89" i="1"/>
  <c r="AC89" i="1"/>
  <c r="AD89" i="1"/>
  <c r="AE89" i="1"/>
  <c r="AH89" i="1"/>
  <c r="AK89" i="1"/>
  <c r="AM89" i="1" s="1"/>
  <c r="AO89" i="1"/>
  <c r="J90" i="1"/>
  <c r="K90" i="1"/>
  <c r="L90" i="1"/>
  <c r="M90" i="1"/>
  <c r="N90" i="1"/>
  <c r="O90" i="1"/>
  <c r="T90" i="1"/>
  <c r="U90" i="1"/>
  <c r="V90" i="1"/>
  <c r="AB90" i="1"/>
  <c r="AC90" i="1"/>
  <c r="AD90" i="1"/>
  <c r="AE90" i="1"/>
  <c r="AH90" i="1"/>
  <c r="AK90" i="1"/>
  <c r="AM90" i="1" s="1"/>
  <c r="AO90" i="1"/>
  <c r="J91" i="1"/>
  <c r="K91" i="1"/>
  <c r="L91" i="1"/>
  <c r="M91" i="1"/>
  <c r="N91" i="1"/>
  <c r="O91" i="1"/>
  <c r="T91" i="1"/>
  <c r="U91" i="1"/>
  <c r="V91" i="1"/>
  <c r="AB91" i="1"/>
  <c r="AC91" i="1"/>
  <c r="AD91" i="1"/>
  <c r="AE91" i="1"/>
  <c r="AH91" i="1"/>
  <c r="AK91" i="1"/>
  <c r="AM91" i="1" s="1"/>
  <c r="AO91" i="1"/>
  <c r="J92" i="1"/>
  <c r="K92" i="1"/>
  <c r="L92" i="1"/>
  <c r="M92" i="1"/>
  <c r="N92" i="1"/>
  <c r="O92" i="1"/>
  <c r="T92" i="1"/>
  <c r="U92" i="1"/>
  <c r="V92" i="1"/>
  <c r="AB92" i="1"/>
  <c r="AC92" i="1"/>
  <c r="AD92" i="1"/>
  <c r="AE92" i="1"/>
  <c r="AH92" i="1"/>
  <c r="AK92" i="1"/>
  <c r="AM92" i="1" s="1"/>
  <c r="AO92" i="1"/>
  <c r="J93" i="1"/>
  <c r="K93" i="1"/>
  <c r="L93" i="1"/>
  <c r="M93" i="1"/>
  <c r="N93" i="1"/>
  <c r="O93" i="1"/>
  <c r="T93" i="1"/>
  <c r="U93" i="1"/>
  <c r="V93" i="1"/>
  <c r="AB93" i="1"/>
  <c r="AC93" i="1"/>
  <c r="AD93" i="1"/>
  <c r="AE93" i="1"/>
  <c r="AH93" i="1"/>
  <c r="AK93" i="1"/>
  <c r="AM93" i="1" s="1"/>
  <c r="AO93" i="1"/>
  <c r="J94" i="1"/>
  <c r="K94" i="1"/>
  <c r="L94" i="1"/>
  <c r="M94" i="1"/>
  <c r="N94" i="1"/>
  <c r="O94" i="1"/>
  <c r="T94" i="1"/>
  <c r="U94" i="1"/>
  <c r="V94" i="1"/>
  <c r="AB94" i="1"/>
  <c r="AC94" i="1"/>
  <c r="AD94" i="1"/>
  <c r="AE94" i="1"/>
  <c r="AH94" i="1"/>
  <c r="AK94" i="1"/>
  <c r="AM94" i="1" s="1"/>
  <c r="AO94" i="1"/>
  <c r="J95" i="1"/>
  <c r="K95" i="1"/>
  <c r="L95" i="1"/>
  <c r="M95" i="1"/>
  <c r="N95" i="1"/>
  <c r="O95" i="1"/>
  <c r="T95" i="1"/>
  <c r="U95" i="1"/>
  <c r="V95" i="1"/>
  <c r="AB95" i="1"/>
  <c r="AC95" i="1"/>
  <c r="AD95" i="1"/>
  <c r="AE95" i="1"/>
  <c r="AH95" i="1"/>
  <c r="AK95" i="1"/>
  <c r="AM95" i="1" s="1"/>
  <c r="AO95" i="1"/>
  <c r="J96" i="1"/>
  <c r="K96" i="1"/>
  <c r="L96" i="1"/>
  <c r="M96" i="1"/>
  <c r="N96" i="1"/>
  <c r="O96" i="1"/>
  <c r="T96" i="1"/>
  <c r="U96" i="1"/>
  <c r="V96" i="1"/>
  <c r="AB96" i="1"/>
  <c r="AC96" i="1"/>
  <c r="AD96" i="1"/>
  <c r="AE96" i="1"/>
  <c r="AH96" i="1"/>
  <c r="AK96" i="1"/>
  <c r="AM96" i="1" s="1"/>
  <c r="AO96" i="1"/>
  <c r="J97" i="1"/>
  <c r="K97" i="1"/>
  <c r="L97" i="1"/>
  <c r="M97" i="1"/>
  <c r="N97" i="1"/>
  <c r="O97" i="1"/>
  <c r="T97" i="1"/>
  <c r="U97" i="1"/>
  <c r="V97" i="1"/>
  <c r="AB97" i="1"/>
  <c r="AC97" i="1"/>
  <c r="AD97" i="1"/>
  <c r="AE97" i="1"/>
  <c r="AH97" i="1"/>
  <c r="AK97" i="1"/>
  <c r="AM97" i="1" s="1"/>
  <c r="AO97" i="1"/>
  <c r="J98" i="1"/>
  <c r="K98" i="1"/>
  <c r="L98" i="1"/>
  <c r="M98" i="1"/>
  <c r="N98" i="1"/>
  <c r="O98" i="1"/>
  <c r="T98" i="1"/>
  <c r="U98" i="1"/>
  <c r="V98" i="1"/>
  <c r="AB98" i="1"/>
  <c r="AC98" i="1"/>
  <c r="AD98" i="1"/>
  <c r="AE98" i="1"/>
  <c r="AH98" i="1"/>
  <c r="AK98" i="1"/>
  <c r="AM98" i="1" s="1"/>
  <c r="AO98" i="1"/>
  <c r="J99" i="1"/>
  <c r="K99" i="1"/>
  <c r="L99" i="1"/>
  <c r="M99" i="1"/>
  <c r="N99" i="1"/>
  <c r="O99" i="1"/>
  <c r="T99" i="1"/>
  <c r="U99" i="1"/>
  <c r="V99" i="1"/>
  <c r="AB99" i="1"/>
  <c r="AC99" i="1"/>
  <c r="AD99" i="1"/>
  <c r="AE99" i="1"/>
  <c r="AH99" i="1"/>
  <c r="AK99" i="1"/>
  <c r="AM99" i="1" s="1"/>
  <c r="AO99" i="1"/>
  <c r="J100" i="1"/>
  <c r="K100" i="1"/>
  <c r="L100" i="1"/>
  <c r="M100" i="1"/>
  <c r="N100" i="1"/>
  <c r="O100" i="1"/>
  <c r="T100" i="1"/>
  <c r="U100" i="1"/>
  <c r="V100" i="1"/>
  <c r="AB100" i="1"/>
  <c r="AC100" i="1"/>
  <c r="AD100" i="1"/>
  <c r="AE100" i="1"/>
  <c r="AH100" i="1"/>
  <c r="AK100" i="1"/>
  <c r="AM100" i="1" s="1"/>
  <c r="AO100" i="1"/>
  <c r="J101" i="1"/>
  <c r="K101" i="1"/>
  <c r="L101" i="1"/>
  <c r="M101" i="1"/>
  <c r="N101" i="1"/>
  <c r="O101" i="1"/>
  <c r="T101" i="1"/>
  <c r="U101" i="1"/>
  <c r="V101" i="1"/>
  <c r="AB101" i="1"/>
  <c r="AC101" i="1"/>
  <c r="AD101" i="1"/>
  <c r="AE101" i="1"/>
  <c r="AH101" i="1"/>
  <c r="AK101" i="1"/>
  <c r="AM101" i="1"/>
  <c r="AO101" i="1"/>
  <c r="J102" i="1"/>
  <c r="K102" i="1"/>
  <c r="L102" i="1"/>
  <c r="M102" i="1"/>
  <c r="N102" i="1"/>
  <c r="O102" i="1"/>
  <c r="T102" i="1"/>
  <c r="U102" i="1"/>
  <c r="V102" i="1"/>
  <c r="AB102" i="1"/>
  <c r="AC102" i="1"/>
  <c r="AD102" i="1"/>
  <c r="AE102" i="1"/>
  <c r="AH102" i="1"/>
  <c r="AK102" i="1"/>
  <c r="AM102" i="1" s="1"/>
  <c r="AO102" i="1"/>
  <c r="J103" i="1"/>
  <c r="K103" i="1"/>
  <c r="L103" i="1"/>
  <c r="M103" i="1"/>
  <c r="N103" i="1"/>
  <c r="O103" i="1"/>
  <c r="T103" i="1"/>
  <c r="U103" i="1"/>
  <c r="V103" i="1"/>
  <c r="AB103" i="1"/>
  <c r="AC103" i="1"/>
  <c r="AD103" i="1"/>
  <c r="AE103" i="1"/>
  <c r="AH103" i="1"/>
  <c r="AK103" i="1"/>
  <c r="AM103" i="1" s="1"/>
  <c r="AO103" i="1"/>
  <c r="J104" i="1"/>
  <c r="K104" i="1"/>
  <c r="L104" i="1"/>
  <c r="M104" i="1"/>
  <c r="N104" i="1"/>
  <c r="O104" i="1"/>
  <c r="T104" i="1"/>
  <c r="U104" i="1"/>
  <c r="V104" i="1"/>
  <c r="AB104" i="1"/>
  <c r="AC104" i="1"/>
  <c r="AD104" i="1"/>
  <c r="AE104" i="1"/>
  <c r="AH104" i="1"/>
  <c r="AK104" i="1"/>
  <c r="AM104" i="1" s="1"/>
  <c r="AO104" i="1"/>
  <c r="J105" i="1"/>
  <c r="K105" i="1"/>
  <c r="L105" i="1"/>
  <c r="M105" i="1"/>
  <c r="N105" i="1"/>
  <c r="O105" i="1"/>
  <c r="T105" i="1"/>
  <c r="U105" i="1"/>
  <c r="V105" i="1"/>
  <c r="AB105" i="1"/>
  <c r="AC105" i="1"/>
  <c r="AD105" i="1"/>
  <c r="AE105" i="1"/>
  <c r="AH105" i="1"/>
  <c r="AK105" i="1"/>
  <c r="AM105" i="1" s="1"/>
  <c r="AO105" i="1"/>
  <c r="J106" i="1"/>
  <c r="K106" i="1"/>
  <c r="L106" i="1"/>
  <c r="M106" i="1"/>
  <c r="N106" i="1"/>
  <c r="O106" i="1"/>
  <c r="T106" i="1"/>
  <c r="U106" i="1"/>
  <c r="V106" i="1"/>
  <c r="AB106" i="1"/>
  <c r="AC106" i="1"/>
  <c r="AD106" i="1"/>
  <c r="AE106" i="1"/>
  <c r="AH106" i="1"/>
  <c r="AK106" i="1"/>
  <c r="AM106" i="1" s="1"/>
  <c r="AO106" i="1"/>
  <c r="J107" i="1"/>
  <c r="K107" i="1"/>
  <c r="L107" i="1"/>
  <c r="M107" i="1"/>
  <c r="N107" i="1"/>
  <c r="O107" i="1"/>
  <c r="T107" i="1"/>
  <c r="U107" i="1"/>
  <c r="V107" i="1"/>
  <c r="AB107" i="1"/>
  <c r="AC107" i="1"/>
  <c r="AD107" i="1"/>
  <c r="AE107" i="1"/>
  <c r="AH107" i="1"/>
  <c r="AK107" i="1"/>
  <c r="AM107" i="1" s="1"/>
  <c r="AO107" i="1"/>
  <c r="J108" i="1"/>
  <c r="K108" i="1"/>
  <c r="L108" i="1"/>
  <c r="M108" i="1"/>
  <c r="N108" i="1"/>
  <c r="O108" i="1"/>
  <c r="T108" i="1"/>
  <c r="U108" i="1"/>
  <c r="V108" i="1"/>
  <c r="AB108" i="1"/>
  <c r="AC108" i="1"/>
  <c r="AD108" i="1"/>
  <c r="AE108" i="1"/>
  <c r="AH108" i="1"/>
  <c r="AK108" i="1"/>
  <c r="AM108" i="1" s="1"/>
  <c r="AO108" i="1"/>
  <c r="J109" i="1"/>
  <c r="K109" i="1"/>
  <c r="L109" i="1"/>
  <c r="M109" i="1"/>
  <c r="N109" i="1"/>
  <c r="O109" i="1"/>
  <c r="T109" i="1"/>
  <c r="U109" i="1"/>
  <c r="V109" i="1"/>
  <c r="AB109" i="1"/>
  <c r="AC109" i="1"/>
  <c r="AD109" i="1"/>
  <c r="AE109" i="1"/>
  <c r="AH109" i="1"/>
  <c r="AK109" i="1"/>
  <c r="AM109" i="1" s="1"/>
  <c r="AO109" i="1"/>
  <c r="J110" i="1"/>
  <c r="K110" i="1"/>
  <c r="L110" i="1"/>
  <c r="M110" i="1"/>
  <c r="N110" i="1"/>
  <c r="O110" i="1"/>
  <c r="T110" i="1"/>
  <c r="U110" i="1"/>
  <c r="V110" i="1"/>
  <c r="AB110" i="1"/>
  <c r="AC110" i="1"/>
  <c r="AD110" i="1"/>
  <c r="AE110" i="1"/>
  <c r="AH110" i="1"/>
  <c r="AK110" i="1"/>
  <c r="AM110" i="1" s="1"/>
  <c r="AO110" i="1"/>
  <c r="J111" i="1"/>
  <c r="K111" i="1"/>
  <c r="L111" i="1"/>
  <c r="M111" i="1"/>
  <c r="N111" i="1"/>
  <c r="O111" i="1"/>
  <c r="T111" i="1"/>
  <c r="U111" i="1"/>
  <c r="V111" i="1"/>
  <c r="AB111" i="1"/>
  <c r="AC111" i="1"/>
  <c r="AD111" i="1"/>
  <c r="AE111" i="1"/>
  <c r="AH111" i="1"/>
  <c r="AK111" i="1"/>
  <c r="AM111" i="1" s="1"/>
  <c r="AO111" i="1"/>
  <c r="J112" i="1"/>
  <c r="K112" i="1"/>
  <c r="L112" i="1"/>
  <c r="M112" i="1"/>
  <c r="N112" i="1"/>
  <c r="O112" i="1"/>
  <c r="T112" i="1"/>
  <c r="U112" i="1"/>
  <c r="V112" i="1"/>
  <c r="AB112" i="1"/>
  <c r="AC112" i="1"/>
  <c r="AD112" i="1"/>
  <c r="AE112" i="1"/>
  <c r="AH112" i="1"/>
  <c r="AK112" i="1"/>
  <c r="AM112" i="1" s="1"/>
  <c r="AO112" i="1"/>
  <c r="J113" i="1"/>
  <c r="K113" i="1"/>
  <c r="L113" i="1"/>
  <c r="M113" i="1"/>
  <c r="N113" i="1"/>
  <c r="O113" i="1"/>
  <c r="T113" i="1"/>
  <c r="U113" i="1"/>
  <c r="V113" i="1"/>
  <c r="AB113" i="1"/>
  <c r="AC113" i="1"/>
  <c r="AD113" i="1"/>
  <c r="AE113" i="1"/>
  <c r="AH113" i="1"/>
  <c r="AK113" i="1"/>
  <c r="AM113" i="1" s="1"/>
  <c r="AO113" i="1"/>
  <c r="J114" i="1"/>
  <c r="K114" i="1"/>
  <c r="L114" i="1"/>
  <c r="M114" i="1"/>
  <c r="N114" i="1"/>
  <c r="O114" i="1"/>
  <c r="T114" i="1"/>
  <c r="U114" i="1"/>
  <c r="V114" i="1"/>
  <c r="AB114" i="1"/>
  <c r="AC114" i="1"/>
  <c r="AD114" i="1"/>
  <c r="AE114" i="1"/>
  <c r="AH114" i="1"/>
  <c r="AK114" i="1"/>
  <c r="AM114" i="1" s="1"/>
  <c r="AO114" i="1"/>
  <c r="J115" i="1"/>
  <c r="K115" i="1"/>
  <c r="L115" i="1"/>
  <c r="M115" i="1"/>
  <c r="N115" i="1"/>
  <c r="O115" i="1"/>
  <c r="T115" i="1"/>
  <c r="U115" i="1"/>
  <c r="V115" i="1"/>
  <c r="AB115" i="1"/>
  <c r="AC115" i="1"/>
  <c r="AD115" i="1"/>
  <c r="AE115" i="1"/>
  <c r="AH115" i="1"/>
  <c r="AK115" i="1"/>
  <c r="AM115" i="1" s="1"/>
  <c r="AO115" i="1"/>
  <c r="J116" i="1"/>
  <c r="K116" i="1"/>
  <c r="L116" i="1"/>
  <c r="M116" i="1"/>
  <c r="N116" i="1"/>
  <c r="O116" i="1"/>
  <c r="T116" i="1"/>
  <c r="U116" i="1"/>
  <c r="V116" i="1"/>
  <c r="AB116" i="1"/>
  <c r="AC116" i="1"/>
  <c r="AD116" i="1"/>
  <c r="AE116" i="1"/>
  <c r="AH116" i="1"/>
  <c r="AK116" i="1"/>
  <c r="AM116" i="1" s="1"/>
  <c r="AO116" i="1"/>
  <c r="J119" i="1"/>
  <c r="K119" i="1"/>
  <c r="L119" i="1"/>
  <c r="M119" i="1"/>
  <c r="N119" i="1"/>
  <c r="O119" i="1"/>
  <c r="T119" i="1"/>
  <c r="U119" i="1"/>
  <c r="V119" i="1"/>
  <c r="AB119" i="1"/>
  <c r="AC119" i="1"/>
  <c r="AD119" i="1"/>
  <c r="AE119" i="1"/>
  <c r="AH119" i="1"/>
  <c r="AK119" i="1"/>
  <c r="AM119" i="1" s="1"/>
  <c r="AO119" i="1"/>
  <c r="J120" i="1"/>
  <c r="K120" i="1"/>
  <c r="L120" i="1"/>
  <c r="M120" i="1"/>
  <c r="N120" i="1"/>
  <c r="O120" i="1"/>
  <c r="T120" i="1"/>
  <c r="U120" i="1"/>
  <c r="V120" i="1"/>
  <c r="AB120" i="1"/>
  <c r="AC120" i="1"/>
  <c r="AD120" i="1"/>
  <c r="AE120" i="1"/>
  <c r="AH120" i="1"/>
  <c r="AK120" i="1"/>
  <c r="AM120" i="1" s="1"/>
  <c r="AO120" i="1"/>
  <c r="J121" i="1"/>
  <c r="K121" i="1"/>
  <c r="L121" i="1"/>
  <c r="M121" i="1"/>
  <c r="N121" i="1"/>
  <c r="O121" i="1"/>
  <c r="T121" i="1"/>
  <c r="U121" i="1"/>
  <c r="V121" i="1"/>
  <c r="AB121" i="1"/>
  <c r="AC121" i="1"/>
  <c r="AD121" i="1"/>
  <c r="AE121" i="1"/>
  <c r="AH121" i="1"/>
  <c r="AK121" i="1"/>
  <c r="AM121" i="1" s="1"/>
  <c r="AO121" i="1"/>
  <c r="J122" i="1"/>
  <c r="K122" i="1"/>
  <c r="L122" i="1"/>
  <c r="M122" i="1"/>
  <c r="N122" i="1"/>
  <c r="O122" i="1"/>
  <c r="T122" i="1"/>
  <c r="U122" i="1"/>
  <c r="V122" i="1"/>
  <c r="AB122" i="1"/>
  <c r="AC122" i="1"/>
  <c r="AD122" i="1"/>
  <c r="AE122" i="1"/>
  <c r="AH122" i="1"/>
  <c r="AK122" i="1"/>
  <c r="AM122" i="1" s="1"/>
  <c r="AO122" i="1"/>
  <c r="J123" i="1"/>
  <c r="K123" i="1"/>
  <c r="L123" i="1"/>
  <c r="M123" i="1"/>
  <c r="N123" i="1"/>
  <c r="O123" i="1"/>
  <c r="T123" i="1"/>
  <c r="U123" i="1"/>
  <c r="V123" i="1"/>
  <c r="AB123" i="1"/>
  <c r="AC123" i="1"/>
  <c r="AD123" i="1"/>
  <c r="AE123" i="1"/>
  <c r="AH123" i="1"/>
  <c r="AK123" i="1"/>
  <c r="AM123" i="1" s="1"/>
  <c r="AO123" i="1"/>
  <c r="J124" i="1"/>
  <c r="K124" i="1"/>
  <c r="L124" i="1"/>
  <c r="M124" i="1"/>
  <c r="N124" i="1"/>
  <c r="O124" i="1"/>
  <c r="T124" i="1"/>
  <c r="U124" i="1"/>
  <c r="V124" i="1"/>
  <c r="AB124" i="1"/>
  <c r="AC124" i="1"/>
  <c r="AD124" i="1"/>
  <c r="AE124" i="1"/>
  <c r="AH124" i="1"/>
  <c r="AK124" i="1"/>
  <c r="AM124" i="1" s="1"/>
  <c r="AO124" i="1"/>
  <c r="J125" i="1"/>
  <c r="K125" i="1"/>
  <c r="L125" i="1"/>
  <c r="M125" i="1"/>
  <c r="N125" i="1"/>
  <c r="O125" i="1"/>
  <c r="T125" i="1"/>
  <c r="U125" i="1"/>
  <c r="V125" i="1"/>
  <c r="AB125" i="1"/>
  <c r="AC125" i="1"/>
  <c r="AD125" i="1"/>
  <c r="AE125" i="1"/>
  <c r="AH125" i="1"/>
  <c r="AK125" i="1"/>
  <c r="AM125" i="1" s="1"/>
  <c r="AO125" i="1"/>
  <c r="J126" i="1"/>
  <c r="K126" i="1"/>
  <c r="L126" i="1"/>
  <c r="M126" i="1"/>
  <c r="N126" i="1"/>
  <c r="O126" i="1"/>
  <c r="T126" i="1"/>
  <c r="U126" i="1"/>
  <c r="V126" i="1"/>
  <c r="AB126" i="1"/>
  <c r="AC126" i="1"/>
  <c r="AD126" i="1"/>
  <c r="AE126" i="1"/>
  <c r="AH126" i="1"/>
  <c r="AK126" i="1"/>
  <c r="AM126" i="1" s="1"/>
  <c r="AO126" i="1"/>
  <c r="J127" i="1"/>
  <c r="K127" i="1"/>
  <c r="L127" i="1"/>
  <c r="M127" i="1"/>
  <c r="N127" i="1"/>
  <c r="O127" i="1"/>
  <c r="T127" i="1"/>
  <c r="U127" i="1"/>
  <c r="V127" i="1"/>
  <c r="AB127" i="1"/>
  <c r="AC127" i="1"/>
  <c r="AD127" i="1"/>
  <c r="AE127" i="1"/>
  <c r="AH127" i="1"/>
  <c r="AK127" i="1"/>
  <c r="AM127" i="1" s="1"/>
  <c r="AO127" i="1"/>
  <c r="J128" i="1"/>
  <c r="K128" i="1"/>
  <c r="L128" i="1"/>
  <c r="M128" i="1"/>
  <c r="N128" i="1"/>
  <c r="O128" i="1"/>
  <c r="T128" i="1"/>
  <c r="U128" i="1"/>
  <c r="V128" i="1"/>
  <c r="AB128" i="1"/>
  <c r="AC128" i="1"/>
  <c r="AD128" i="1"/>
  <c r="AE128" i="1"/>
  <c r="AH128" i="1"/>
  <c r="AK128" i="1"/>
  <c r="AM128" i="1" s="1"/>
  <c r="AO128" i="1"/>
  <c r="J129" i="1"/>
  <c r="K129" i="1"/>
  <c r="L129" i="1"/>
  <c r="M129" i="1"/>
  <c r="N129" i="1"/>
  <c r="O129" i="1"/>
  <c r="T129" i="1"/>
  <c r="U129" i="1"/>
  <c r="V129" i="1"/>
  <c r="AB129" i="1"/>
  <c r="AC129" i="1"/>
  <c r="AD129" i="1"/>
  <c r="AE129" i="1"/>
  <c r="AH129" i="1"/>
  <c r="AK129" i="1"/>
  <c r="AM129" i="1" s="1"/>
  <c r="AO129" i="1"/>
  <c r="J130" i="1"/>
  <c r="K130" i="1"/>
  <c r="L130" i="1"/>
  <c r="M130" i="1"/>
  <c r="N130" i="1"/>
  <c r="O130" i="1"/>
  <c r="T130" i="1"/>
  <c r="U130" i="1"/>
  <c r="V130" i="1"/>
  <c r="AB130" i="1"/>
  <c r="AC130" i="1"/>
  <c r="AD130" i="1"/>
  <c r="AE130" i="1"/>
  <c r="AH130" i="1"/>
  <c r="AK130" i="1"/>
  <c r="AM130" i="1" s="1"/>
  <c r="AO130" i="1"/>
  <c r="J131" i="1"/>
  <c r="K131" i="1"/>
  <c r="L131" i="1"/>
  <c r="M131" i="1"/>
  <c r="N131" i="1"/>
  <c r="O131" i="1"/>
  <c r="T131" i="1"/>
  <c r="U131" i="1"/>
  <c r="V131" i="1"/>
  <c r="AB131" i="1"/>
  <c r="AC131" i="1"/>
  <c r="AD131" i="1"/>
  <c r="AE131" i="1"/>
  <c r="AH131" i="1"/>
  <c r="AK131" i="1"/>
  <c r="AM131" i="1" s="1"/>
  <c r="AO131" i="1"/>
  <c r="J132" i="1"/>
  <c r="K132" i="1"/>
  <c r="L132" i="1"/>
  <c r="M132" i="1"/>
  <c r="N132" i="1"/>
  <c r="O132" i="1"/>
  <c r="T132" i="1"/>
  <c r="U132" i="1"/>
  <c r="V132" i="1"/>
  <c r="AB132" i="1"/>
  <c r="AC132" i="1"/>
  <c r="AD132" i="1"/>
  <c r="AE132" i="1"/>
  <c r="AH132" i="1"/>
  <c r="AK132" i="1"/>
  <c r="AM132" i="1" s="1"/>
  <c r="AO132" i="1"/>
  <c r="J133" i="1"/>
  <c r="K133" i="1"/>
  <c r="L133" i="1"/>
  <c r="M133" i="1"/>
  <c r="N133" i="1"/>
  <c r="O133" i="1"/>
  <c r="T133" i="1"/>
  <c r="U133" i="1"/>
  <c r="V133" i="1"/>
  <c r="AB133" i="1"/>
  <c r="AC133" i="1"/>
  <c r="AD133" i="1"/>
  <c r="AE133" i="1"/>
  <c r="AH133" i="1"/>
  <c r="AK133" i="1"/>
  <c r="AM133" i="1" s="1"/>
  <c r="AO133" i="1"/>
  <c r="J134" i="1"/>
  <c r="K134" i="1"/>
  <c r="L134" i="1"/>
  <c r="M134" i="1"/>
  <c r="N134" i="1"/>
  <c r="O134" i="1"/>
  <c r="T134" i="1"/>
  <c r="U134" i="1"/>
  <c r="V134" i="1"/>
  <c r="AB134" i="1"/>
  <c r="AC134" i="1"/>
  <c r="AD134" i="1"/>
  <c r="AE134" i="1"/>
  <c r="AH134" i="1"/>
  <c r="AK134" i="1"/>
  <c r="AM134" i="1" s="1"/>
  <c r="AO134" i="1"/>
  <c r="J135" i="1"/>
  <c r="K135" i="1"/>
  <c r="L135" i="1"/>
  <c r="M135" i="1"/>
  <c r="N135" i="1"/>
  <c r="O135" i="1"/>
  <c r="T135" i="1"/>
  <c r="U135" i="1"/>
  <c r="V135" i="1"/>
  <c r="AB135" i="1"/>
  <c r="AC135" i="1"/>
  <c r="AD135" i="1"/>
  <c r="AE135" i="1"/>
  <c r="AH135" i="1"/>
  <c r="AK135" i="1"/>
  <c r="AM135" i="1" s="1"/>
  <c r="AO135" i="1"/>
  <c r="J136" i="1"/>
  <c r="K136" i="1"/>
  <c r="L136" i="1"/>
  <c r="M136" i="1"/>
  <c r="N136" i="1"/>
  <c r="O136" i="1"/>
  <c r="T136" i="1"/>
  <c r="U136" i="1"/>
  <c r="V136" i="1"/>
  <c r="AB136" i="1"/>
  <c r="AC136" i="1"/>
  <c r="AD136" i="1"/>
  <c r="AE136" i="1"/>
  <c r="AH136" i="1"/>
  <c r="AK136" i="1"/>
  <c r="AM136" i="1" s="1"/>
  <c r="AO136" i="1"/>
  <c r="J137" i="1"/>
  <c r="K137" i="1"/>
  <c r="L137" i="1"/>
  <c r="M137" i="1"/>
  <c r="N137" i="1"/>
  <c r="O137" i="1"/>
  <c r="T137" i="1"/>
  <c r="U137" i="1"/>
  <c r="V137" i="1"/>
  <c r="AB137" i="1"/>
  <c r="AC137" i="1"/>
  <c r="AD137" i="1"/>
  <c r="AE137" i="1"/>
  <c r="AH137" i="1"/>
  <c r="AK137" i="1"/>
  <c r="AM137" i="1" s="1"/>
  <c r="AO137" i="1"/>
  <c r="J138" i="1"/>
  <c r="K138" i="1"/>
  <c r="L138" i="1"/>
  <c r="M138" i="1"/>
  <c r="N138" i="1"/>
  <c r="O138" i="1"/>
  <c r="T138" i="1"/>
  <c r="U138" i="1"/>
  <c r="V138" i="1"/>
  <c r="AB138" i="1"/>
  <c r="AC138" i="1"/>
  <c r="AD138" i="1"/>
  <c r="AE138" i="1"/>
  <c r="AH138" i="1"/>
  <c r="AK138" i="1"/>
  <c r="AM138" i="1" s="1"/>
  <c r="AO138" i="1"/>
  <c r="J139" i="1"/>
  <c r="K139" i="1"/>
  <c r="L139" i="1"/>
  <c r="M139" i="1"/>
  <c r="N139" i="1"/>
  <c r="O139" i="1"/>
  <c r="T139" i="1"/>
  <c r="U139" i="1"/>
  <c r="V139" i="1"/>
  <c r="AB139" i="1"/>
  <c r="AC139" i="1"/>
  <c r="AD139" i="1"/>
  <c r="AE139" i="1"/>
  <c r="AH139" i="1"/>
  <c r="AK139" i="1"/>
  <c r="AM139" i="1" s="1"/>
  <c r="AO139" i="1"/>
  <c r="J140" i="1"/>
  <c r="K140" i="1"/>
  <c r="L140" i="1"/>
  <c r="M140" i="1"/>
  <c r="N140" i="1"/>
  <c r="O140" i="1"/>
  <c r="T140" i="1"/>
  <c r="U140" i="1"/>
  <c r="V140" i="1"/>
  <c r="AB140" i="1"/>
  <c r="AC140" i="1"/>
  <c r="AD140" i="1"/>
  <c r="AE140" i="1"/>
  <c r="AH140" i="1"/>
  <c r="AK140" i="1"/>
  <c r="AM140" i="1" s="1"/>
  <c r="AO140" i="1"/>
  <c r="J141" i="1"/>
  <c r="K141" i="1"/>
  <c r="L141" i="1"/>
  <c r="M141" i="1"/>
  <c r="N141" i="1"/>
  <c r="O141" i="1"/>
  <c r="T141" i="1"/>
  <c r="U141" i="1"/>
  <c r="V141" i="1"/>
  <c r="AB141" i="1"/>
  <c r="AC141" i="1"/>
  <c r="AD141" i="1"/>
  <c r="AE141" i="1"/>
  <c r="AH141" i="1"/>
  <c r="AK141" i="1"/>
  <c r="AM141" i="1" s="1"/>
  <c r="AO141" i="1"/>
  <c r="J142" i="1"/>
  <c r="K142" i="1"/>
  <c r="L142" i="1"/>
  <c r="M142" i="1"/>
  <c r="N142" i="1"/>
  <c r="O142" i="1"/>
  <c r="T142" i="1"/>
  <c r="U142" i="1"/>
  <c r="V142" i="1"/>
  <c r="AB142" i="1"/>
  <c r="AC142" i="1"/>
  <c r="AD142" i="1"/>
  <c r="AE142" i="1"/>
  <c r="AH142" i="1"/>
  <c r="AK142" i="1"/>
  <c r="AM142" i="1" s="1"/>
  <c r="AO142" i="1"/>
  <c r="J143" i="1"/>
  <c r="K143" i="1"/>
  <c r="L143" i="1"/>
  <c r="M143" i="1"/>
  <c r="N143" i="1"/>
  <c r="O143" i="1"/>
  <c r="T143" i="1"/>
  <c r="U143" i="1"/>
  <c r="V143" i="1"/>
  <c r="AB143" i="1"/>
  <c r="AC143" i="1"/>
  <c r="AD143" i="1"/>
  <c r="AE143" i="1"/>
  <c r="AH143" i="1"/>
  <c r="AK143" i="1"/>
  <c r="AM143" i="1" s="1"/>
  <c r="AO143" i="1"/>
  <c r="J144" i="1"/>
  <c r="K144" i="1"/>
  <c r="L144" i="1"/>
  <c r="M144" i="1"/>
  <c r="N144" i="1"/>
  <c r="O144" i="1"/>
  <c r="T144" i="1"/>
  <c r="U144" i="1"/>
  <c r="V144" i="1"/>
  <c r="AB144" i="1"/>
  <c r="AC144" i="1"/>
  <c r="AD144" i="1"/>
  <c r="AE144" i="1"/>
  <c r="AH144" i="1"/>
  <c r="AK144" i="1"/>
  <c r="AM144" i="1" s="1"/>
  <c r="AO144" i="1"/>
  <c r="J145" i="1"/>
  <c r="K145" i="1"/>
  <c r="L145" i="1"/>
  <c r="M145" i="1"/>
  <c r="N145" i="1"/>
  <c r="O145" i="1"/>
  <c r="T145" i="1"/>
  <c r="U145" i="1"/>
  <c r="V145" i="1"/>
  <c r="AB145" i="1"/>
  <c r="AC145" i="1"/>
  <c r="AD145" i="1"/>
  <c r="AE145" i="1"/>
  <c r="AH145" i="1"/>
  <c r="AK145" i="1"/>
  <c r="AM145" i="1" s="1"/>
  <c r="AO145" i="1"/>
  <c r="J146" i="1"/>
  <c r="K146" i="1"/>
  <c r="L146" i="1"/>
  <c r="M146" i="1"/>
  <c r="N146" i="1"/>
  <c r="O146" i="1"/>
  <c r="T146" i="1"/>
  <c r="U146" i="1"/>
  <c r="V146" i="1"/>
  <c r="AB146" i="1"/>
  <c r="AC146" i="1"/>
  <c r="AD146" i="1"/>
  <c r="AE146" i="1"/>
  <c r="AH146" i="1"/>
  <c r="AK146" i="1"/>
  <c r="AM146" i="1" s="1"/>
  <c r="AO146" i="1"/>
  <c r="J147" i="1"/>
  <c r="K147" i="1"/>
  <c r="L147" i="1"/>
  <c r="M147" i="1"/>
  <c r="N147" i="1"/>
  <c r="O147" i="1"/>
  <c r="T147" i="1"/>
  <c r="U147" i="1"/>
  <c r="V147" i="1"/>
  <c r="AB147" i="1"/>
  <c r="AC147" i="1"/>
  <c r="AD147" i="1"/>
  <c r="AE147" i="1"/>
  <c r="AH147" i="1"/>
  <c r="AK147" i="1"/>
  <c r="AM147" i="1" s="1"/>
  <c r="AO147" i="1"/>
  <c r="J148" i="1"/>
  <c r="K148" i="1"/>
  <c r="L148" i="1"/>
  <c r="M148" i="1"/>
  <c r="N148" i="1"/>
  <c r="O148" i="1"/>
  <c r="T148" i="1"/>
  <c r="U148" i="1"/>
  <c r="V148" i="1"/>
  <c r="AB148" i="1"/>
  <c r="AC148" i="1"/>
  <c r="AD148" i="1"/>
  <c r="AE148" i="1"/>
  <c r="AH148" i="1"/>
  <c r="AK148" i="1"/>
  <c r="AM148" i="1" s="1"/>
  <c r="AO148" i="1"/>
  <c r="J149" i="1"/>
  <c r="K149" i="1"/>
  <c r="L149" i="1"/>
  <c r="M149" i="1"/>
  <c r="N149" i="1"/>
  <c r="O149" i="1"/>
  <c r="T149" i="1"/>
  <c r="U149" i="1"/>
  <c r="V149" i="1"/>
  <c r="AB149" i="1"/>
  <c r="AC149" i="1"/>
  <c r="AD149" i="1"/>
  <c r="AE149" i="1"/>
  <c r="AH149" i="1"/>
  <c r="AK149" i="1"/>
  <c r="AM149" i="1" s="1"/>
  <c r="AO149" i="1"/>
  <c r="J150" i="1"/>
  <c r="K150" i="1"/>
  <c r="L150" i="1"/>
  <c r="M150" i="1"/>
  <c r="N150" i="1"/>
  <c r="O150" i="1"/>
  <c r="T150" i="1"/>
  <c r="U150" i="1"/>
  <c r="V150" i="1"/>
  <c r="AB150" i="1"/>
  <c r="AC150" i="1"/>
  <c r="AD150" i="1"/>
  <c r="AE150" i="1"/>
  <c r="AH150" i="1"/>
  <c r="AK150" i="1"/>
  <c r="AM150" i="1" s="1"/>
  <c r="AO150" i="1"/>
  <c r="J151" i="1"/>
  <c r="K151" i="1"/>
  <c r="L151" i="1"/>
  <c r="M151" i="1"/>
  <c r="N151" i="1"/>
  <c r="O151" i="1"/>
  <c r="T151" i="1"/>
  <c r="U151" i="1"/>
  <c r="V151" i="1"/>
  <c r="AB151" i="1"/>
  <c r="AC151" i="1"/>
  <c r="AD151" i="1"/>
  <c r="AE151" i="1"/>
  <c r="AH151" i="1"/>
  <c r="AK151" i="1"/>
  <c r="AM151" i="1" s="1"/>
  <c r="AO151" i="1"/>
  <c r="J152" i="1"/>
  <c r="K152" i="1"/>
  <c r="L152" i="1"/>
  <c r="M152" i="1"/>
  <c r="N152" i="1"/>
  <c r="O152" i="1"/>
  <c r="T152" i="1"/>
  <c r="U152" i="1"/>
  <c r="V152" i="1"/>
  <c r="AB152" i="1"/>
  <c r="AC152" i="1"/>
  <c r="AD152" i="1"/>
  <c r="AE152" i="1"/>
  <c r="AH152" i="1"/>
  <c r="AK152" i="1"/>
  <c r="AM152" i="1" s="1"/>
  <c r="AO152" i="1"/>
  <c r="J153" i="1"/>
  <c r="K153" i="1"/>
  <c r="L153" i="1"/>
  <c r="M153" i="1"/>
  <c r="N153" i="1"/>
  <c r="O153" i="1"/>
  <c r="T153" i="1"/>
  <c r="U153" i="1"/>
  <c r="V153" i="1"/>
  <c r="AB153" i="1"/>
  <c r="AC153" i="1"/>
  <c r="AD153" i="1"/>
  <c r="AE153" i="1"/>
  <c r="AH153" i="1"/>
  <c r="AK153" i="1"/>
  <c r="AM153" i="1" s="1"/>
  <c r="AO153" i="1"/>
  <c r="J154" i="1"/>
  <c r="K154" i="1"/>
  <c r="L154" i="1"/>
  <c r="M154" i="1"/>
  <c r="N154" i="1"/>
  <c r="O154" i="1"/>
  <c r="T154" i="1"/>
  <c r="U154" i="1"/>
  <c r="V154" i="1"/>
  <c r="AB154" i="1"/>
  <c r="AC154" i="1"/>
  <c r="AD154" i="1"/>
  <c r="AE154" i="1"/>
  <c r="AH154" i="1"/>
  <c r="AK154" i="1"/>
  <c r="AM154" i="1" s="1"/>
  <c r="AO154" i="1"/>
  <c r="J155" i="1"/>
  <c r="K155" i="1"/>
  <c r="L155" i="1"/>
  <c r="M155" i="1"/>
  <c r="N155" i="1"/>
  <c r="O155" i="1"/>
  <c r="T155" i="1"/>
  <c r="U155" i="1"/>
  <c r="V155" i="1"/>
  <c r="AB155" i="1"/>
  <c r="AC155" i="1"/>
  <c r="AD155" i="1"/>
  <c r="AE155" i="1"/>
  <c r="AH155" i="1"/>
  <c r="AK155" i="1"/>
  <c r="AM155" i="1" s="1"/>
  <c r="AO155" i="1"/>
  <c r="J156" i="1"/>
  <c r="K156" i="1"/>
  <c r="L156" i="1"/>
  <c r="M156" i="1"/>
  <c r="N156" i="1"/>
  <c r="O156" i="1"/>
  <c r="T156" i="1"/>
  <c r="U156" i="1"/>
  <c r="V156" i="1"/>
  <c r="AB156" i="1"/>
  <c r="AC156" i="1"/>
  <c r="AD156" i="1"/>
  <c r="AE156" i="1"/>
  <c r="AH156" i="1"/>
  <c r="AK156" i="1"/>
  <c r="AM156" i="1" s="1"/>
  <c r="AO156" i="1"/>
  <c r="J157" i="1"/>
  <c r="K157" i="1"/>
  <c r="L157" i="1"/>
  <c r="M157" i="1"/>
  <c r="N157" i="1"/>
  <c r="O157" i="1"/>
  <c r="T157" i="1"/>
  <c r="U157" i="1"/>
  <c r="V157" i="1"/>
  <c r="AB157" i="1"/>
  <c r="AC157" i="1"/>
  <c r="AD157" i="1"/>
  <c r="AE157" i="1"/>
  <c r="AH157" i="1"/>
  <c r="AK157" i="1"/>
  <c r="AM157" i="1" s="1"/>
  <c r="AO157" i="1"/>
  <c r="J158" i="1"/>
  <c r="K158" i="1"/>
  <c r="L158" i="1"/>
  <c r="M158" i="1"/>
  <c r="N158" i="1"/>
  <c r="O158" i="1"/>
  <c r="T158" i="1"/>
  <c r="U158" i="1"/>
  <c r="V158" i="1"/>
  <c r="AB158" i="1"/>
  <c r="AC158" i="1"/>
  <c r="AD158" i="1"/>
  <c r="AE158" i="1"/>
  <c r="AH158" i="1"/>
  <c r="AK158" i="1"/>
  <c r="AM158" i="1" s="1"/>
  <c r="AO158" i="1"/>
  <c r="J159" i="1"/>
  <c r="K159" i="1"/>
  <c r="L159" i="1"/>
  <c r="M159" i="1"/>
  <c r="N159" i="1"/>
  <c r="O159" i="1"/>
  <c r="T159" i="1"/>
  <c r="U159" i="1"/>
  <c r="V159" i="1"/>
  <c r="AB159" i="1"/>
  <c r="AC159" i="1"/>
  <c r="AD159" i="1"/>
  <c r="AE159" i="1"/>
  <c r="AH159" i="1"/>
  <c r="AK159" i="1"/>
  <c r="AM159" i="1" s="1"/>
  <c r="AO159" i="1"/>
  <c r="AF170" i="1" l="1"/>
  <c r="W160" i="1"/>
  <c r="W167" i="1"/>
  <c r="P169" i="1"/>
  <c r="AF172" i="1"/>
  <c r="W171" i="1"/>
  <c r="W163" i="1"/>
  <c r="P161" i="1"/>
  <c r="W165" i="1"/>
  <c r="W166" i="1"/>
  <c r="AF161" i="1"/>
  <c r="AF162" i="1"/>
  <c r="P160" i="1"/>
  <c r="P165" i="1"/>
  <c r="P163" i="1"/>
  <c r="W164" i="1"/>
  <c r="W170" i="1"/>
  <c r="P172" i="1"/>
  <c r="AF167" i="1"/>
  <c r="AF168" i="1"/>
  <c r="W169" i="1"/>
  <c r="P170" i="1"/>
  <c r="AF163" i="1"/>
  <c r="AF164" i="1"/>
  <c r="P168" i="1"/>
  <c r="AF169" i="1"/>
  <c r="W161" i="1"/>
  <c r="W162" i="1"/>
  <c r="P166" i="1"/>
  <c r="P171" i="1"/>
  <c r="W172" i="1"/>
  <c r="AF160" i="1"/>
  <c r="P164" i="1"/>
  <c r="AF165" i="1"/>
  <c r="P162" i="1"/>
  <c r="P167" i="1"/>
  <c r="W168" i="1"/>
  <c r="AF171" i="1"/>
  <c r="AF125" i="1"/>
  <c r="W98" i="1"/>
  <c r="W97" i="1"/>
  <c r="W93" i="1"/>
  <c r="W118" i="1"/>
  <c r="W142" i="1"/>
  <c r="AF91" i="1"/>
  <c r="W73" i="1"/>
  <c r="W155" i="1"/>
  <c r="AF141" i="1"/>
  <c r="AF71" i="1"/>
  <c r="P67" i="1"/>
  <c r="AF83" i="1"/>
  <c r="AF121" i="1"/>
  <c r="W89" i="1"/>
  <c r="W84" i="1"/>
  <c r="AF118" i="1"/>
  <c r="W131" i="1"/>
  <c r="P114" i="1"/>
  <c r="W85" i="1"/>
  <c r="AF117" i="1"/>
  <c r="W123" i="1"/>
  <c r="W119" i="1"/>
  <c r="W116" i="1"/>
  <c r="W69" i="1"/>
  <c r="W150" i="1"/>
  <c r="AF137" i="1"/>
  <c r="AF79" i="1"/>
  <c r="AF75" i="1"/>
  <c r="W117" i="1"/>
  <c r="P159" i="1"/>
  <c r="P132" i="1"/>
  <c r="W112" i="1"/>
  <c r="W109" i="1"/>
  <c r="AF99" i="1"/>
  <c r="AF98" i="1"/>
  <c r="P93" i="1"/>
  <c r="W76" i="1"/>
  <c r="AF151" i="1"/>
  <c r="W138" i="1"/>
  <c r="AF129" i="1"/>
  <c r="W108" i="1"/>
  <c r="W105" i="1"/>
  <c r="W81" i="1"/>
  <c r="W77" i="1"/>
  <c r="AF154" i="1"/>
  <c r="AF115" i="1"/>
  <c r="AF87" i="1"/>
  <c r="W72" i="1"/>
  <c r="P118" i="1"/>
  <c r="W127" i="1"/>
  <c r="W124" i="1"/>
  <c r="P120" i="1"/>
  <c r="W153" i="1"/>
  <c r="P148" i="1"/>
  <c r="W122" i="1"/>
  <c r="W92" i="1"/>
  <c r="P86" i="1"/>
  <c r="P117" i="1"/>
  <c r="P157" i="1"/>
  <c r="W148" i="1"/>
  <c r="AF145" i="1"/>
  <c r="W135" i="1"/>
  <c r="W134" i="1"/>
  <c r="W104" i="1"/>
  <c r="P98" i="1"/>
  <c r="AF95" i="1"/>
  <c r="W88" i="1"/>
  <c r="P81" i="1"/>
  <c r="P74" i="1"/>
  <c r="W67" i="1"/>
  <c r="P127" i="1"/>
  <c r="AF111" i="1"/>
  <c r="P95" i="1"/>
  <c r="P94" i="1"/>
  <c r="W147" i="1"/>
  <c r="W157" i="1"/>
  <c r="W146" i="1"/>
  <c r="W130" i="1"/>
  <c r="P129" i="1"/>
  <c r="P128" i="1"/>
  <c r="AF116" i="1"/>
  <c r="W101" i="1"/>
  <c r="W100" i="1"/>
  <c r="W96" i="1"/>
  <c r="P82" i="1"/>
  <c r="AF67" i="1"/>
  <c r="W113" i="1"/>
  <c r="P110" i="1"/>
  <c r="P77" i="1"/>
  <c r="P156" i="1"/>
  <c r="W110" i="1"/>
  <c r="AF107" i="1"/>
  <c r="AF104" i="1"/>
  <c r="P90" i="1"/>
  <c r="W80" i="1"/>
  <c r="P70" i="1"/>
  <c r="W126" i="1"/>
  <c r="P106" i="1"/>
  <c r="P78" i="1"/>
  <c r="AF149" i="1"/>
  <c r="P140" i="1"/>
  <c r="AF133" i="1"/>
  <c r="AF132" i="1"/>
  <c r="P124" i="1"/>
  <c r="AF103" i="1"/>
  <c r="P102" i="1"/>
  <c r="P133" i="1"/>
  <c r="AF122" i="1"/>
  <c r="AF102" i="1"/>
  <c r="P99" i="1"/>
  <c r="P97" i="1"/>
  <c r="W94" i="1"/>
  <c r="W90" i="1"/>
  <c r="W86" i="1"/>
  <c r="AF85" i="1"/>
  <c r="W83" i="1"/>
  <c r="W82" i="1"/>
  <c r="AF81" i="1"/>
  <c r="W79" i="1"/>
  <c r="W78" i="1"/>
  <c r="W74" i="1"/>
  <c r="AF73" i="1"/>
  <c r="P73" i="1"/>
  <c r="W71" i="1"/>
  <c r="W70" i="1"/>
  <c r="P69" i="1"/>
  <c r="P131" i="1"/>
  <c r="P158" i="1"/>
  <c r="AF155" i="1"/>
  <c r="AF142" i="1"/>
  <c r="AF136" i="1"/>
  <c r="P135" i="1"/>
  <c r="AF130" i="1"/>
  <c r="AF110" i="1"/>
  <c r="P107" i="1"/>
  <c r="P105" i="1"/>
  <c r="W102" i="1"/>
  <c r="AF96" i="1"/>
  <c r="W141" i="1"/>
  <c r="P103" i="1"/>
  <c r="AF88" i="1"/>
  <c r="AF76" i="1"/>
  <c r="AF153" i="1"/>
  <c r="P153" i="1"/>
  <c r="W145" i="1"/>
  <c r="W144" i="1"/>
  <c r="P137" i="1"/>
  <c r="AF134" i="1"/>
  <c r="AF114" i="1"/>
  <c r="P111" i="1"/>
  <c r="P109" i="1"/>
  <c r="W106" i="1"/>
  <c r="AF100" i="1"/>
  <c r="P68" i="1"/>
  <c r="AF144" i="1"/>
  <c r="AF106" i="1"/>
  <c r="AF84" i="1"/>
  <c r="AF72" i="1"/>
  <c r="AF158" i="1"/>
  <c r="P154" i="1"/>
  <c r="AF152" i="1"/>
  <c r="AF147" i="1"/>
  <c r="P144" i="1"/>
  <c r="W143" i="1"/>
  <c r="AF120" i="1"/>
  <c r="P115" i="1"/>
  <c r="P113" i="1"/>
  <c r="P88" i="1"/>
  <c r="P84" i="1"/>
  <c r="P80" i="1"/>
  <c r="P76" i="1"/>
  <c r="W128" i="1"/>
  <c r="AF159" i="1"/>
  <c r="W156" i="1"/>
  <c r="W151" i="1"/>
  <c r="P145" i="1"/>
  <c r="W132" i="1"/>
  <c r="AF126" i="1"/>
  <c r="P101" i="1"/>
  <c r="AF80" i="1"/>
  <c r="P155" i="1"/>
  <c r="P147" i="1"/>
  <c r="W158" i="1"/>
  <c r="AF157" i="1"/>
  <c r="W154" i="1"/>
  <c r="P152" i="1"/>
  <c r="P151" i="1"/>
  <c r="W149" i="1"/>
  <c r="AF140" i="1"/>
  <c r="W137" i="1"/>
  <c r="W136" i="1"/>
  <c r="AF124" i="1"/>
  <c r="P121" i="1"/>
  <c r="P119" i="1"/>
  <c r="W114" i="1"/>
  <c r="AF108" i="1"/>
  <c r="W68" i="1"/>
  <c r="W140" i="1"/>
  <c r="W139" i="1"/>
  <c r="AF92" i="1"/>
  <c r="AF68" i="1"/>
  <c r="W159" i="1"/>
  <c r="W152" i="1"/>
  <c r="AF150" i="1"/>
  <c r="P141" i="1"/>
  <c r="AF138" i="1"/>
  <c r="P136" i="1"/>
  <c r="AF128" i="1"/>
  <c r="P125" i="1"/>
  <c r="P123" i="1"/>
  <c r="W120" i="1"/>
  <c r="AF112" i="1"/>
  <c r="AF94" i="1"/>
  <c r="P91" i="1"/>
  <c r="P87" i="1"/>
  <c r="AF86" i="1"/>
  <c r="P83" i="1"/>
  <c r="P79" i="1"/>
  <c r="P75" i="1"/>
  <c r="P71" i="1"/>
  <c r="C71" i="1" s="1"/>
  <c r="B71" i="1" s="1"/>
  <c r="P143" i="1"/>
  <c r="P139" i="1"/>
  <c r="AF90" i="1"/>
  <c r="AF69" i="1"/>
  <c r="AF143" i="1"/>
  <c r="W121" i="1"/>
  <c r="AF113" i="1"/>
  <c r="W111" i="1"/>
  <c r="W107" i="1"/>
  <c r="W99" i="1"/>
  <c r="W95" i="1"/>
  <c r="AF89" i="1"/>
  <c r="W87" i="1"/>
  <c r="P85" i="1"/>
  <c r="AF78" i="1"/>
  <c r="P72" i="1"/>
  <c r="P150" i="1"/>
  <c r="AF146" i="1"/>
  <c r="AF135" i="1"/>
  <c r="AF131" i="1"/>
  <c r="AF127" i="1"/>
  <c r="W125" i="1"/>
  <c r="AF74" i="1"/>
  <c r="AF123" i="1"/>
  <c r="AF109" i="1"/>
  <c r="AF101" i="1"/>
  <c r="AF97" i="1"/>
  <c r="AF93" i="1"/>
  <c r="W91" i="1"/>
  <c r="P89" i="1"/>
  <c r="AF82" i="1"/>
  <c r="AF156" i="1"/>
  <c r="P149" i="1"/>
  <c r="AF148" i="1"/>
  <c r="P146" i="1"/>
  <c r="P142" i="1"/>
  <c r="P138" i="1"/>
  <c r="AF70" i="1"/>
  <c r="AF139" i="1"/>
  <c r="W133" i="1"/>
  <c r="W129" i="1"/>
  <c r="AF119" i="1"/>
  <c r="W115" i="1"/>
  <c r="C115" i="1" s="1"/>
  <c r="B115" i="1" s="1"/>
  <c r="AF105" i="1"/>
  <c r="W103" i="1"/>
  <c r="P134" i="1"/>
  <c r="P130" i="1"/>
  <c r="P126" i="1"/>
  <c r="P122" i="1"/>
  <c r="P116" i="1"/>
  <c r="P112" i="1"/>
  <c r="P108" i="1"/>
  <c r="P104" i="1"/>
  <c r="P100" i="1"/>
  <c r="P96" i="1"/>
  <c r="P92" i="1"/>
  <c r="AF77" i="1"/>
  <c r="W75" i="1"/>
  <c r="C120" i="1" l="1"/>
  <c r="B120" i="1" s="1"/>
  <c r="C110" i="1"/>
  <c r="B110" i="1" s="1"/>
  <c r="C112" i="1"/>
  <c r="B112" i="1" s="1"/>
  <c r="C170" i="1"/>
  <c r="B170" i="1" s="1"/>
  <c r="C167" i="1"/>
  <c r="B167" i="1" s="1"/>
  <c r="C162" i="1"/>
  <c r="B162" i="1" s="1"/>
  <c r="C168" i="1"/>
  <c r="B168" i="1" s="1"/>
  <c r="C160" i="1"/>
  <c r="B160" i="1" s="1"/>
  <c r="C161" i="1"/>
  <c r="B161" i="1" s="1"/>
  <c r="C122" i="1"/>
  <c r="B122" i="1" s="1"/>
  <c r="C148" i="1"/>
  <c r="B148" i="1" s="1"/>
  <c r="C164" i="1"/>
  <c r="B164" i="1" s="1"/>
  <c r="C172" i="1"/>
  <c r="B172" i="1" s="1"/>
  <c r="C165" i="1"/>
  <c r="B165" i="1" s="1"/>
  <c r="C166" i="1"/>
  <c r="B166" i="1" s="1"/>
  <c r="C169" i="1"/>
  <c r="B169" i="1" s="1"/>
  <c r="C119" i="1"/>
  <c r="B119" i="1" s="1"/>
  <c r="C69" i="1"/>
  <c r="B69" i="1" s="1"/>
  <c r="C92" i="1"/>
  <c r="B92" i="1" s="1"/>
  <c r="C151" i="1"/>
  <c r="B151" i="1" s="1"/>
  <c r="C81" i="1"/>
  <c r="B81" i="1" s="1"/>
  <c r="C91" i="1"/>
  <c r="B91" i="1" s="1"/>
  <c r="C132" i="1"/>
  <c r="B132" i="1" s="1"/>
  <c r="C163" i="1"/>
  <c r="B163" i="1" s="1"/>
  <c r="C171" i="1"/>
  <c r="B171" i="1" s="1"/>
  <c r="C141" i="1"/>
  <c r="B141" i="1" s="1"/>
  <c r="C108" i="1"/>
  <c r="B108" i="1" s="1"/>
  <c r="C138" i="1"/>
  <c r="B138" i="1" s="1"/>
  <c r="C116" i="1"/>
  <c r="B116" i="1" s="1"/>
  <c r="C131" i="1"/>
  <c r="B131" i="1" s="1"/>
  <c r="C147" i="1"/>
  <c r="B147" i="1" s="1"/>
  <c r="C109" i="1"/>
  <c r="B109" i="1" s="1"/>
  <c r="C156" i="1"/>
  <c r="B156" i="1" s="1"/>
  <c r="C150" i="1"/>
  <c r="B150" i="1" s="1"/>
  <c r="C99" i="1"/>
  <c r="B99" i="1" s="1"/>
  <c r="C68" i="1"/>
  <c r="B68" i="1" s="1"/>
  <c r="C85" i="1"/>
  <c r="B85" i="1" s="1"/>
  <c r="C118" i="1"/>
  <c r="B118" i="1" s="1"/>
  <c r="C93" i="1"/>
  <c r="B93" i="1" s="1"/>
  <c r="C133" i="1"/>
  <c r="B133" i="1" s="1"/>
  <c r="C82" i="1"/>
  <c r="B82" i="1" s="1"/>
  <c r="C95" i="1"/>
  <c r="B95" i="1" s="1"/>
  <c r="C100" i="1"/>
  <c r="B100" i="1" s="1"/>
  <c r="C153" i="1"/>
  <c r="B153" i="1" s="1"/>
  <c r="C67" i="1"/>
  <c r="B67" i="1" s="1"/>
  <c r="C98" i="1"/>
  <c r="B98" i="1" s="1"/>
  <c r="C159" i="1"/>
  <c r="B159" i="1" s="1"/>
  <c r="C73" i="1"/>
  <c r="B73" i="1" s="1"/>
  <c r="C102" i="1"/>
  <c r="B102" i="1" s="1"/>
  <c r="C117" i="1"/>
  <c r="B117" i="1" s="1"/>
  <c r="C157" i="1"/>
  <c r="B157" i="1" s="1"/>
  <c r="C124" i="1"/>
  <c r="B124" i="1" s="1"/>
  <c r="C106" i="1"/>
  <c r="B106" i="1" s="1"/>
  <c r="C111" i="1"/>
  <c r="B111" i="1" s="1"/>
  <c r="C130" i="1"/>
  <c r="B130" i="1" s="1"/>
  <c r="C76" i="1"/>
  <c r="B76" i="1" s="1"/>
  <c r="C134" i="1"/>
  <c r="B134" i="1" s="1"/>
  <c r="C136" i="1"/>
  <c r="B136" i="1" s="1"/>
  <c r="C70" i="1"/>
  <c r="B70" i="1" s="1"/>
  <c r="C72" i="1"/>
  <c r="B72" i="1" s="1"/>
  <c r="C114" i="1"/>
  <c r="B114" i="1" s="1"/>
  <c r="C155" i="1"/>
  <c r="B155" i="1" s="1"/>
  <c r="C113" i="1"/>
  <c r="B113" i="1" s="1"/>
  <c r="C75" i="1"/>
  <c r="B75" i="1" s="1"/>
  <c r="C125" i="1"/>
  <c r="B125" i="1" s="1"/>
  <c r="C77" i="1"/>
  <c r="B77" i="1" s="1"/>
  <c r="C142" i="1"/>
  <c r="B142" i="1" s="1"/>
  <c r="C83" i="1"/>
  <c r="B83" i="1" s="1"/>
  <c r="C140" i="1"/>
  <c r="B140" i="1" s="1"/>
  <c r="C105" i="1"/>
  <c r="B105" i="1" s="1"/>
  <c r="C158" i="1"/>
  <c r="B158" i="1" s="1"/>
  <c r="C94" i="1"/>
  <c r="B94" i="1" s="1"/>
  <c r="C129" i="1"/>
  <c r="B129" i="1" s="1"/>
  <c r="C127" i="1"/>
  <c r="B127" i="1" s="1"/>
  <c r="C121" i="1"/>
  <c r="B121" i="1" s="1"/>
  <c r="C86" i="1"/>
  <c r="B86" i="1" s="1"/>
  <c r="C128" i="1"/>
  <c r="B128" i="1" s="1"/>
  <c r="C80" i="1"/>
  <c r="B80" i="1" s="1"/>
  <c r="C79" i="1"/>
  <c r="B79" i="1" s="1"/>
  <c r="C97" i="1"/>
  <c r="B97" i="1" s="1"/>
  <c r="C126" i="1"/>
  <c r="B126" i="1" s="1"/>
  <c r="C101" i="1"/>
  <c r="B101" i="1" s="1"/>
  <c r="C145" i="1"/>
  <c r="B145" i="1" s="1"/>
  <c r="C84" i="1"/>
  <c r="B84" i="1" s="1"/>
  <c r="C88" i="1"/>
  <c r="B88" i="1" s="1"/>
  <c r="C96" i="1"/>
  <c r="B96" i="1" s="1"/>
  <c r="C149" i="1"/>
  <c r="B149" i="1" s="1"/>
  <c r="C135" i="1"/>
  <c r="B135" i="1" s="1"/>
  <c r="C154" i="1"/>
  <c r="B154" i="1" s="1"/>
  <c r="C123" i="1"/>
  <c r="B123" i="1" s="1"/>
  <c r="C104" i="1"/>
  <c r="B104" i="1" s="1"/>
  <c r="C103" i="1"/>
  <c r="B103" i="1" s="1"/>
  <c r="C74" i="1"/>
  <c r="B74" i="1" s="1"/>
  <c r="C90" i="1"/>
  <c r="B90" i="1" s="1"/>
  <c r="C78" i="1"/>
  <c r="B78" i="1" s="1"/>
  <c r="C107" i="1"/>
  <c r="B107" i="1" s="1"/>
  <c r="C152" i="1"/>
  <c r="B152" i="1" s="1"/>
  <c r="C137" i="1"/>
  <c r="B137" i="1" s="1"/>
  <c r="C87" i="1"/>
  <c r="B87" i="1" s="1"/>
  <c r="C143" i="1"/>
  <c r="B143" i="1" s="1"/>
  <c r="C146" i="1"/>
  <c r="B146" i="1" s="1"/>
  <c r="C144" i="1"/>
  <c r="B144" i="1" s="1"/>
  <c r="C89" i="1"/>
  <c r="B89" i="1" s="1"/>
  <c r="C139" i="1"/>
  <c r="B139" i="1" s="1"/>
  <c r="D16" i="4" l="1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E3" i="4" l="1"/>
  <c r="E62" i="4"/>
  <c r="E60" i="4"/>
  <c r="E58" i="4"/>
  <c r="E56" i="4"/>
  <c r="E54" i="4"/>
  <c r="E52" i="4"/>
  <c r="E50" i="4"/>
  <c r="E48" i="4"/>
  <c r="E46" i="4"/>
  <c r="E44" i="4"/>
  <c r="E42" i="4"/>
  <c r="E40" i="4"/>
  <c r="E38" i="4"/>
  <c r="E36" i="4"/>
  <c r="E34" i="4"/>
  <c r="E32" i="4"/>
  <c r="E30" i="4"/>
  <c r="E28" i="4"/>
  <c r="E26" i="4"/>
  <c r="E24" i="4"/>
  <c r="E22" i="4"/>
  <c r="E20" i="4"/>
  <c r="E18" i="4"/>
  <c r="E16" i="4"/>
  <c r="E14" i="4"/>
  <c r="E12" i="4"/>
  <c r="E10" i="4"/>
  <c r="E8" i="4"/>
  <c r="E6" i="4"/>
  <c r="E4" i="4"/>
  <c r="E2" i="4"/>
  <c r="E61" i="4"/>
  <c r="E59" i="4"/>
  <c r="E57" i="4"/>
  <c r="E55" i="4"/>
  <c r="E53" i="4"/>
  <c r="E51" i="4"/>
  <c r="E49" i="4"/>
  <c r="E47" i="4"/>
  <c r="E45" i="4"/>
  <c r="E43" i="4"/>
  <c r="E41" i="4"/>
  <c r="E39" i="4"/>
  <c r="E37" i="4"/>
  <c r="E35" i="4"/>
  <c r="E33" i="4"/>
  <c r="E31" i="4"/>
  <c r="E29" i="4"/>
  <c r="E27" i="4"/>
  <c r="E25" i="4"/>
  <c r="E23" i="4"/>
  <c r="E21" i="4"/>
  <c r="E19" i="4"/>
  <c r="E17" i="4"/>
  <c r="E15" i="4"/>
  <c r="E13" i="4"/>
  <c r="E11" i="4"/>
  <c r="E9" i="4"/>
  <c r="E7" i="4"/>
  <c r="E5" i="4"/>
  <c r="J51" i="1"/>
  <c r="K51" i="1"/>
  <c r="L51" i="1"/>
  <c r="M51" i="1"/>
  <c r="N51" i="1"/>
  <c r="O51" i="1"/>
  <c r="T51" i="1"/>
  <c r="U51" i="1"/>
  <c r="V51" i="1"/>
  <c r="AB51" i="1"/>
  <c r="AC51" i="1"/>
  <c r="AD51" i="1"/>
  <c r="AE51" i="1"/>
  <c r="AH51" i="1"/>
  <c r="AK51" i="1"/>
  <c r="AM51" i="1" s="1"/>
  <c r="AO51" i="1"/>
  <c r="J52" i="1"/>
  <c r="K52" i="1"/>
  <c r="L52" i="1"/>
  <c r="M52" i="1"/>
  <c r="N52" i="1"/>
  <c r="O52" i="1"/>
  <c r="T52" i="1"/>
  <c r="U52" i="1"/>
  <c r="V52" i="1"/>
  <c r="AB52" i="1"/>
  <c r="AC52" i="1"/>
  <c r="AD52" i="1"/>
  <c r="AE52" i="1"/>
  <c r="AH52" i="1"/>
  <c r="AK52" i="1"/>
  <c r="AM52" i="1" s="1"/>
  <c r="AO52" i="1"/>
  <c r="J53" i="1"/>
  <c r="K53" i="1"/>
  <c r="L53" i="1"/>
  <c r="M53" i="1"/>
  <c r="N53" i="1"/>
  <c r="O53" i="1"/>
  <c r="T53" i="1"/>
  <c r="U53" i="1"/>
  <c r="V53" i="1"/>
  <c r="AB53" i="1"/>
  <c r="AC53" i="1"/>
  <c r="AD53" i="1"/>
  <c r="AE53" i="1"/>
  <c r="AH53" i="1"/>
  <c r="AK53" i="1"/>
  <c r="AM53" i="1" s="1"/>
  <c r="AO53" i="1"/>
  <c r="J54" i="1"/>
  <c r="K54" i="1"/>
  <c r="L54" i="1"/>
  <c r="M54" i="1"/>
  <c r="N54" i="1"/>
  <c r="O54" i="1"/>
  <c r="T54" i="1"/>
  <c r="U54" i="1"/>
  <c r="V54" i="1"/>
  <c r="AB54" i="1"/>
  <c r="AC54" i="1"/>
  <c r="AD54" i="1"/>
  <c r="AE54" i="1"/>
  <c r="AH54" i="1"/>
  <c r="AK54" i="1"/>
  <c r="AM54" i="1" s="1"/>
  <c r="AO54" i="1"/>
  <c r="J55" i="1"/>
  <c r="K55" i="1"/>
  <c r="L55" i="1"/>
  <c r="M55" i="1"/>
  <c r="N55" i="1"/>
  <c r="O55" i="1"/>
  <c r="T55" i="1"/>
  <c r="U55" i="1"/>
  <c r="V55" i="1"/>
  <c r="AB55" i="1"/>
  <c r="AC55" i="1"/>
  <c r="AD55" i="1"/>
  <c r="AE55" i="1"/>
  <c r="AH55" i="1"/>
  <c r="AK55" i="1"/>
  <c r="AM55" i="1" s="1"/>
  <c r="AO55" i="1"/>
  <c r="J56" i="1"/>
  <c r="K56" i="1"/>
  <c r="L56" i="1"/>
  <c r="M56" i="1"/>
  <c r="N56" i="1"/>
  <c r="O56" i="1"/>
  <c r="T56" i="1"/>
  <c r="U56" i="1"/>
  <c r="V56" i="1"/>
  <c r="AB56" i="1"/>
  <c r="AC56" i="1"/>
  <c r="AD56" i="1"/>
  <c r="AE56" i="1"/>
  <c r="AH56" i="1"/>
  <c r="AK56" i="1"/>
  <c r="AM56" i="1" s="1"/>
  <c r="AO56" i="1"/>
  <c r="J57" i="1"/>
  <c r="K57" i="1"/>
  <c r="L57" i="1"/>
  <c r="M57" i="1"/>
  <c r="N57" i="1"/>
  <c r="O57" i="1"/>
  <c r="T57" i="1"/>
  <c r="U57" i="1"/>
  <c r="V57" i="1"/>
  <c r="AB57" i="1"/>
  <c r="AC57" i="1"/>
  <c r="AD57" i="1"/>
  <c r="AE57" i="1"/>
  <c r="AH57" i="1"/>
  <c r="AK57" i="1"/>
  <c r="AM57" i="1" s="1"/>
  <c r="AO57" i="1"/>
  <c r="J58" i="1"/>
  <c r="K58" i="1"/>
  <c r="L58" i="1"/>
  <c r="M58" i="1"/>
  <c r="N58" i="1"/>
  <c r="O58" i="1"/>
  <c r="T58" i="1"/>
  <c r="U58" i="1"/>
  <c r="V58" i="1"/>
  <c r="AB58" i="1"/>
  <c r="AC58" i="1"/>
  <c r="AD58" i="1"/>
  <c r="AE58" i="1"/>
  <c r="AH58" i="1"/>
  <c r="AK58" i="1"/>
  <c r="AM58" i="1" s="1"/>
  <c r="AO58" i="1"/>
  <c r="J59" i="1"/>
  <c r="K59" i="1"/>
  <c r="L59" i="1"/>
  <c r="M59" i="1"/>
  <c r="N59" i="1"/>
  <c r="O59" i="1"/>
  <c r="T59" i="1"/>
  <c r="U59" i="1"/>
  <c r="V59" i="1"/>
  <c r="AB59" i="1"/>
  <c r="AC59" i="1"/>
  <c r="AD59" i="1"/>
  <c r="AE59" i="1"/>
  <c r="AH59" i="1"/>
  <c r="AK59" i="1"/>
  <c r="AM59" i="1" s="1"/>
  <c r="AO59" i="1"/>
  <c r="J60" i="1"/>
  <c r="K60" i="1"/>
  <c r="L60" i="1"/>
  <c r="M60" i="1"/>
  <c r="N60" i="1"/>
  <c r="O60" i="1"/>
  <c r="T60" i="1"/>
  <c r="U60" i="1"/>
  <c r="V60" i="1"/>
  <c r="AB60" i="1"/>
  <c r="AC60" i="1"/>
  <c r="AD60" i="1"/>
  <c r="AE60" i="1"/>
  <c r="AH60" i="1"/>
  <c r="AK60" i="1"/>
  <c r="AM60" i="1" s="1"/>
  <c r="AO60" i="1"/>
  <c r="J61" i="1"/>
  <c r="K61" i="1"/>
  <c r="L61" i="1"/>
  <c r="M61" i="1"/>
  <c r="N61" i="1"/>
  <c r="O61" i="1"/>
  <c r="T61" i="1"/>
  <c r="U61" i="1"/>
  <c r="V61" i="1"/>
  <c r="AB61" i="1"/>
  <c r="AC61" i="1"/>
  <c r="AD61" i="1"/>
  <c r="AE61" i="1"/>
  <c r="AH61" i="1"/>
  <c r="AK61" i="1"/>
  <c r="AM61" i="1" s="1"/>
  <c r="AO61" i="1"/>
  <c r="J62" i="1"/>
  <c r="K62" i="1"/>
  <c r="L62" i="1"/>
  <c r="M62" i="1"/>
  <c r="N62" i="1"/>
  <c r="O62" i="1"/>
  <c r="T62" i="1"/>
  <c r="U62" i="1"/>
  <c r="V62" i="1"/>
  <c r="AB62" i="1"/>
  <c r="AC62" i="1"/>
  <c r="AD62" i="1"/>
  <c r="AE62" i="1"/>
  <c r="AH62" i="1"/>
  <c r="AK62" i="1"/>
  <c r="AM62" i="1" s="1"/>
  <c r="AO62" i="1"/>
  <c r="J63" i="1"/>
  <c r="K63" i="1"/>
  <c r="L63" i="1"/>
  <c r="M63" i="1"/>
  <c r="N63" i="1"/>
  <c r="O63" i="1"/>
  <c r="T63" i="1"/>
  <c r="U63" i="1"/>
  <c r="V63" i="1"/>
  <c r="AB63" i="1"/>
  <c r="AC63" i="1"/>
  <c r="AD63" i="1"/>
  <c r="AE63" i="1"/>
  <c r="AH63" i="1"/>
  <c r="AK63" i="1"/>
  <c r="AM63" i="1" s="1"/>
  <c r="AO63" i="1"/>
  <c r="J64" i="1"/>
  <c r="K64" i="1"/>
  <c r="L64" i="1"/>
  <c r="M64" i="1"/>
  <c r="N64" i="1"/>
  <c r="O64" i="1"/>
  <c r="T64" i="1"/>
  <c r="U64" i="1"/>
  <c r="V64" i="1"/>
  <c r="AB64" i="1"/>
  <c r="AC64" i="1"/>
  <c r="AD64" i="1"/>
  <c r="AE64" i="1"/>
  <c r="AH64" i="1"/>
  <c r="AK64" i="1"/>
  <c r="AM64" i="1" s="1"/>
  <c r="AO64" i="1"/>
  <c r="J65" i="1"/>
  <c r="K65" i="1"/>
  <c r="L65" i="1"/>
  <c r="M65" i="1"/>
  <c r="N65" i="1"/>
  <c r="O65" i="1"/>
  <c r="T65" i="1"/>
  <c r="U65" i="1"/>
  <c r="V65" i="1"/>
  <c r="AB65" i="1"/>
  <c r="AC65" i="1"/>
  <c r="AD65" i="1"/>
  <c r="AE65" i="1"/>
  <c r="AH65" i="1"/>
  <c r="AK65" i="1"/>
  <c r="AM65" i="1" s="1"/>
  <c r="AO65" i="1"/>
  <c r="J66" i="1"/>
  <c r="K66" i="1"/>
  <c r="L66" i="1"/>
  <c r="M66" i="1"/>
  <c r="N66" i="1"/>
  <c r="O66" i="1"/>
  <c r="T66" i="1"/>
  <c r="U66" i="1"/>
  <c r="V66" i="1"/>
  <c r="AB66" i="1"/>
  <c r="AC66" i="1"/>
  <c r="AD66" i="1"/>
  <c r="AE66" i="1"/>
  <c r="AH66" i="1"/>
  <c r="AK66" i="1"/>
  <c r="AM66" i="1" s="1"/>
  <c r="AO66" i="1"/>
  <c r="AF66" i="1" l="1"/>
  <c r="AF65" i="1"/>
  <c r="W64" i="1"/>
  <c r="W63" i="1"/>
  <c r="P63" i="1"/>
  <c r="AF62" i="1"/>
  <c r="P62" i="1"/>
  <c r="W60" i="1"/>
  <c r="AF59" i="1"/>
  <c r="W59" i="1"/>
  <c r="P59" i="1"/>
  <c r="AF58" i="1"/>
  <c r="P58" i="1"/>
  <c r="W56" i="1"/>
  <c r="AF55" i="1"/>
  <c r="W55" i="1"/>
  <c r="P55" i="1"/>
  <c r="AF54" i="1"/>
  <c r="P54" i="1"/>
  <c r="W52" i="1"/>
  <c r="AF51" i="1"/>
  <c r="W51" i="1"/>
  <c r="P51" i="1"/>
  <c r="W66" i="1"/>
  <c r="P66" i="1"/>
  <c r="W65" i="1"/>
  <c r="P65" i="1"/>
  <c r="AF64" i="1"/>
  <c r="P64" i="1"/>
  <c r="AF63" i="1"/>
  <c r="W62" i="1"/>
  <c r="AF61" i="1"/>
  <c r="W61" i="1"/>
  <c r="P61" i="1"/>
  <c r="AF60" i="1"/>
  <c r="P60" i="1"/>
  <c r="W58" i="1"/>
  <c r="AF57" i="1"/>
  <c r="W57" i="1"/>
  <c r="P57" i="1"/>
  <c r="AF56" i="1"/>
  <c r="P56" i="1"/>
  <c r="W54" i="1"/>
  <c r="AF53" i="1"/>
  <c r="W53" i="1"/>
  <c r="P53" i="1"/>
  <c r="AF52" i="1"/>
  <c r="P52" i="1"/>
  <c r="AO49" i="1"/>
  <c r="AK49" i="1"/>
  <c r="AM49" i="1" s="1"/>
  <c r="AH49" i="1"/>
  <c r="AE49" i="1"/>
  <c r="AD49" i="1"/>
  <c r="AC49" i="1"/>
  <c r="AB49" i="1"/>
  <c r="V49" i="1"/>
  <c r="U49" i="1"/>
  <c r="T49" i="1"/>
  <c r="O49" i="1"/>
  <c r="N49" i="1"/>
  <c r="M49" i="1"/>
  <c r="L49" i="1"/>
  <c r="K49" i="1"/>
  <c r="J49" i="1"/>
  <c r="AO50" i="1"/>
  <c r="AK50" i="1"/>
  <c r="AM50" i="1" s="1"/>
  <c r="AH50" i="1"/>
  <c r="AE50" i="1"/>
  <c r="AD50" i="1"/>
  <c r="AC50" i="1"/>
  <c r="AB50" i="1"/>
  <c r="V50" i="1"/>
  <c r="U50" i="1"/>
  <c r="T50" i="1"/>
  <c r="O50" i="1"/>
  <c r="N50" i="1"/>
  <c r="M50" i="1"/>
  <c r="L50" i="1"/>
  <c r="K50" i="1"/>
  <c r="J50" i="1"/>
  <c r="AO22" i="1"/>
  <c r="AM22" i="1"/>
  <c r="AH22" i="1"/>
  <c r="AE22" i="1"/>
  <c r="AD22" i="1"/>
  <c r="AC22" i="1"/>
  <c r="AB22" i="1"/>
  <c r="V22" i="1"/>
  <c r="U22" i="1"/>
  <c r="T22" i="1"/>
  <c r="O22" i="1"/>
  <c r="N22" i="1"/>
  <c r="M22" i="1"/>
  <c r="L22" i="1"/>
  <c r="K22" i="1"/>
  <c r="J22" i="1"/>
  <c r="AO11" i="1"/>
  <c r="AK11" i="1"/>
  <c r="AM11" i="1" s="1"/>
  <c r="AH11" i="1"/>
  <c r="AE11" i="1"/>
  <c r="AD11" i="1"/>
  <c r="AC11" i="1"/>
  <c r="AB11" i="1"/>
  <c r="V11" i="1"/>
  <c r="U11" i="1"/>
  <c r="T11" i="1"/>
  <c r="O11" i="1"/>
  <c r="N11" i="1"/>
  <c r="M11" i="1"/>
  <c r="L11" i="1"/>
  <c r="K11" i="1"/>
  <c r="J11" i="1"/>
  <c r="C64" i="1" l="1"/>
  <c r="B64" i="1" s="1"/>
  <c r="C57" i="1"/>
  <c r="B57" i="1" s="1"/>
  <c r="C53" i="1"/>
  <c r="B53" i="1" s="1"/>
  <c r="C61" i="1"/>
  <c r="B61" i="1" s="1"/>
  <c r="C54" i="1"/>
  <c r="B54" i="1" s="1"/>
  <c r="C62" i="1"/>
  <c r="B62" i="1" s="1"/>
  <c r="AF11" i="1"/>
  <c r="C56" i="1"/>
  <c r="B56" i="1" s="1"/>
  <c r="C60" i="1"/>
  <c r="B60" i="1" s="1"/>
  <c r="C59" i="1"/>
  <c r="B59" i="1" s="1"/>
  <c r="C63" i="1"/>
  <c r="B63" i="1" s="1"/>
  <c r="C52" i="1"/>
  <c r="B52" i="1" s="1"/>
  <c r="C51" i="1"/>
  <c r="B51" i="1" s="1"/>
  <c r="W11" i="1"/>
  <c r="W22" i="1"/>
  <c r="W50" i="1"/>
  <c r="W49" i="1"/>
  <c r="C65" i="1"/>
  <c r="B65" i="1" s="1"/>
  <c r="C66" i="1"/>
  <c r="B66" i="1" s="1"/>
  <c r="C55" i="1"/>
  <c r="B55" i="1" s="1"/>
  <c r="C58" i="1"/>
  <c r="B58" i="1" s="1"/>
  <c r="P11" i="1"/>
  <c r="P22" i="1"/>
  <c r="AF22" i="1"/>
  <c r="AF50" i="1"/>
  <c r="AF49" i="1"/>
  <c r="P50" i="1"/>
  <c r="P49" i="1"/>
  <c r="C11" i="1" l="1"/>
  <c r="B11" i="1" s="1"/>
  <c r="C49" i="1"/>
  <c r="B49" i="1" s="1"/>
  <c r="C50" i="1"/>
  <c r="B50" i="1" s="1"/>
  <c r="C22" i="1"/>
  <c r="B22" i="1" s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17" i="1"/>
  <c r="AK15" i="1"/>
  <c r="AO40" i="1" l="1"/>
  <c r="AM40" i="1"/>
  <c r="AH40" i="1"/>
  <c r="AE40" i="1"/>
  <c r="AD40" i="1"/>
  <c r="AC40" i="1"/>
  <c r="AB40" i="1"/>
  <c r="V40" i="1"/>
  <c r="U40" i="1"/>
  <c r="T40" i="1"/>
  <c r="O40" i="1"/>
  <c r="N40" i="1"/>
  <c r="M40" i="1"/>
  <c r="L40" i="1"/>
  <c r="K40" i="1"/>
  <c r="J40" i="1"/>
  <c r="AO48" i="1"/>
  <c r="AM48" i="1"/>
  <c r="AH48" i="1"/>
  <c r="AE48" i="1"/>
  <c r="AD48" i="1"/>
  <c r="AC48" i="1"/>
  <c r="AB48" i="1"/>
  <c r="V48" i="1"/>
  <c r="U48" i="1"/>
  <c r="T48" i="1"/>
  <c r="O48" i="1"/>
  <c r="N48" i="1"/>
  <c r="M48" i="1"/>
  <c r="L48" i="1"/>
  <c r="K48" i="1"/>
  <c r="J48" i="1"/>
  <c r="AO47" i="1"/>
  <c r="AM47" i="1"/>
  <c r="AH47" i="1"/>
  <c r="AE47" i="1"/>
  <c r="AD47" i="1"/>
  <c r="AC47" i="1"/>
  <c r="AB47" i="1"/>
  <c r="V47" i="1"/>
  <c r="U47" i="1"/>
  <c r="T47" i="1"/>
  <c r="O47" i="1"/>
  <c r="N47" i="1"/>
  <c r="M47" i="1"/>
  <c r="L47" i="1"/>
  <c r="K47" i="1"/>
  <c r="J47" i="1"/>
  <c r="AO46" i="1"/>
  <c r="AM46" i="1"/>
  <c r="AH46" i="1"/>
  <c r="AE46" i="1"/>
  <c r="AD46" i="1"/>
  <c r="AC46" i="1"/>
  <c r="AB46" i="1"/>
  <c r="V46" i="1"/>
  <c r="U46" i="1"/>
  <c r="T46" i="1"/>
  <c r="O46" i="1"/>
  <c r="N46" i="1"/>
  <c r="M46" i="1"/>
  <c r="L46" i="1"/>
  <c r="K46" i="1"/>
  <c r="J46" i="1"/>
  <c r="AO45" i="1"/>
  <c r="AM45" i="1"/>
  <c r="AH45" i="1"/>
  <c r="AE45" i="1"/>
  <c r="AD45" i="1"/>
  <c r="AC45" i="1"/>
  <c r="AB45" i="1"/>
  <c r="V45" i="1"/>
  <c r="U45" i="1"/>
  <c r="T45" i="1"/>
  <c r="O45" i="1"/>
  <c r="N45" i="1"/>
  <c r="M45" i="1"/>
  <c r="L45" i="1"/>
  <c r="K45" i="1"/>
  <c r="J45" i="1"/>
  <c r="AO44" i="1"/>
  <c r="AM44" i="1"/>
  <c r="AH44" i="1"/>
  <c r="AE44" i="1"/>
  <c r="AD44" i="1"/>
  <c r="AC44" i="1"/>
  <c r="AB44" i="1"/>
  <c r="V44" i="1"/>
  <c r="U44" i="1"/>
  <c r="T44" i="1"/>
  <c r="O44" i="1"/>
  <c r="N44" i="1"/>
  <c r="M44" i="1"/>
  <c r="L44" i="1"/>
  <c r="K44" i="1"/>
  <c r="J44" i="1"/>
  <c r="AO43" i="1"/>
  <c r="AM43" i="1"/>
  <c r="AH43" i="1"/>
  <c r="AE43" i="1"/>
  <c r="AD43" i="1"/>
  <c r="AC43" i="1"/>
  <c r="AB43" i="1"/>
  <c r="V43" i="1"/>
  <c r="U43" i="1"/>
  <c r="T43" i="1"/>
  <c r="O43" i="1"/>
  <c r="N43" i="1"/>
  <c r="M43" i="1"/>
  <c r="L43" i="1"/>
  <c r="K43" i="1"/>
  <c r="J43" i="1"/>
  <c r="AO42" i="1"/>
  <c r="AM42" i="1"/>
  <c r="AH42" i="1"/>
  <c r="AE42" i="1"/>
  <c r="AD42" i="1"/>
  <c r="AC42" i="1"/>
  <c r="AB42" i="1"/>
  <c r="V42" i="1"/>
  <c r="U42" i="1"/>
  <c r="T42" i="1"/>
  <c r="O42" i="1"/>
  <c r="N42" i="1"/>
  <c r="M42" i="1"/>
  <c r="L42" i="1"/>
  <c r="K42" i="1"/>
  <c r="J42" i="1"/>
  <c r="AO41" i="1"/>
  <c r="AM41" i="1"/>
  <c r="AH41" i="1"/>
  <c r="AE41" i="1"/>
  <c r="AD41" i="1"/>
  <c r="AC41" i="1"/>
  <c r="AB41" i="1"/>
  <c r="V41" i="1"/>
  <c r="U41" i="1"/>
  <c r="T41" i="1"/>
  <c r="O41" i="1"/>
  <c r="N41" i="1"/>
  <c r="M41" i="1"/>
  <c r="L41" i="1"/>
  <c r="K41" i="1"/>
  <c r="J41" i="1"/>
  <c r="AO14" i="1"/>
  <c r="AM14" i="1"/>
  <c r="AH14" i="1"/>
  <c r="AE14" i="1"/>
  <c r="AD14" i="1"/>
  <c r="AC14" i="1"/>
  <c r="AB14" i="1"/>
  <c r="V14" i="1"/>
  <c r="U14" i="1"/>
  <c r="T14" i="1"/>
  <c r="O14" i="1"/>
  <c r="N14" i="1"/>
  <c r="M14" i="1"/>
  <c r="L14" i="1"/>
  <c r="K14" i="1"/>
  <c r="J14" i="1"/>
  <c r="AO13" i="1"/>
  <c r="AM13" i="1"/>
  <c r="AH13" i="1"/>
  <c r="AE13" i="1"/>
  <c r="AD13" i="1"/>
  <c r="AC13" i="1"/>
  <c r="AB13" i="1"/>
  <c r="V13" i="1"/>
  <c r="U13" i="1"/>
  <c r="T13" i="1"/>
  <c r="O13" i="1"/>
  <c r="N13" i="1"/>
  <c r="M13" i="1"/>
  <c r="L13" i="1"/>
  <c r="K13" i="1"/>
  <c r="J13" i="1"/>
  <c r="AO32" i="1"/>
  <c r="AM32" i="1"/>
  <c r="AH32" i="1"/>
  <c r="AE32" i="1"/>
  <c r="AD32" i="1"/>
  <c r="AC32" i="1"/>
  <c r="AB32" i="1"/>
  <c r="V32" i="1"/>
  <c r="U32" i="1"/>
  <c r="T32" i="1"/>
  <c r="O32" i="1"/>
  <c r="N32" i="1"/>
  <c r="M32" i="1"/>
  <c r="L32" i="1"/>
  <c r="K32" i="1"/>
  <c r="J32" i="1"/>
  <c r="AO31" i="1"/>
  <c r="AM31" i="1"/>
  <c r="AH31" i="1"/>
  <c r="AE31" i="1"/>
  <c r="AD31" i="1"/>
  <c r="AC31" i="1"/>
  <c r="AB31" i="1"/>
  <c r="V31" i="1"/>
  <c r="U31" i="1"/>
  <c r="T31" i="1"/>
  <c r="O31" i="1"/>
  <c r="N31" i="1"/>
  <c r="M31" i="1"/>
  <c r="L31" i="1"/>
  <c r="K31" i="1"/>
  <c r="J31" i="1"/>
  <c r="AO26" i="1"/>
  <c r="AM26" i="1"/>
  <c r="AH26" i="1"/>
  <c r="AE26" i="1"/>
  <c r="AD26" i="1"/>
  <c r="AC26" i="1"/>
  <c r="AB26" i="1"/>
  <c r="V26" i="1"/>
  <c r="U26" i="1"/>
  <c r="T26" i="1"/>
  <c r="O26" i="1"/>
  <c r="N26" i="1"/>
  <c r="M26" i="1"/>
  <c r="L26" i="1"/>
  <c r="K26" i="1"/>
  <c r="J26" i="1"/>
  <c r="P40" i="1" l="1"/>
  <c r="W40" i="1"/>
  <c r="AF40" i="1"/>
  <c r="W41" i="1"/>
  <c r="AF41" i="1"/>
  <c r="AF42" i="1"/>
  <c r="W43" i="1"/>
  <c r="AF43" i="1"/>
  <c r="AF44" i="1"/>
  <c r="W45" i="1"/>
  <c r="AF45" i="1"/>
  <c r="AF46" i="1"/>
  <c r="W47" i="1"/>
  <c r="AF47" i="1"/>
  <c r="AF48" i="1"/>
  <c r="P41" i="1"/>
  <c r="P42" i="1"/>
  <c r="W42" i="1"/>
  <c r="P43" i="1"/>
  <c r="P44" i="1"/>
  <c r="W44" i="1"/>
  <c r="P45" i="1"/>
  <c r="P46" i="1"/>
  <c r="W46" i="1"/>
  <c r="P47" i="1"/>
  <c r="P48" i="1"/>
  <c r="W48" i="1"/>
  <c r="AF14" i="1"/>
  <c r="P14" i="1"/>
  <c r="W14" i="1"/>
  <c r="P13" i="1"/>
  <c r="W13" i="1"/>
  <c r="AF31" i="1"/>
  <c r="AF32" i="1"/>
  <c r="AF13" i="1"/>
  <c r="P31" i="1"/>
  <c r="W31" i="1"/>
  <c r="P32" i="1"/>
  <c r="W32" i="1"/>
  <c r="P26" i="1"/>
  <c r="W26" i="1"/>
  <c r="AF26" i="1"/>
  <c r="C40" i="1" l="1"/>
  <c r="B40" i="1" s="1"/>
  <c r="C47" i="1"/>
  <c r="B47" i="1" s="1"/>
  <c r="C43" i="1"/>
  <c r="B43" i="1" s="1"/>
  <c r="C48" i="1"/>
  <c r="B48" i="1" s="1"/>
  <c r="C45" i="1"/>
  <c r="B45" i="1" s="1"/>
  <c r="C44" i="1"/>
  <c r="B44" i="1" s="1"/>
  <c r="C41" i="1"/>
  <c r="B41" i="1" s="1"/>
  <c r="C46" i="1"/>
  <c r="B46" i="1" s="1"/>
  <c r="C42" i="1"/>
  <c r="B42" i="1" s="1"/>
  <c r="C14" i="1"/>
  <c r="B14" i="1" s="1"/>
  <c r="C31" i="1"/>
  <c r="B31" i="1" s="1"/>
  <c r="C13" i="1"/>
  <c r="B13" i="1" s="1"/>
  <c r="C26" i="1"/>
  <c r="B26" i="1" s="1"/>
  <c r="C32" i="1"/>
  <c r="B32" i="1" s="1"/>
  <c r="AE17" i="1"/>
  <c r="AE18" i="1"/>
  <c r="AD17" i="1"/>
  <c r="AD18" i="1"/>
  <c r="AC17" i="1"/>
  <c r="AC18" i="1"/>
  <c r="AM12" i="1" l="1"/>
  <c r="AM15" i="1"/>
  <c r="AM16" i="1"/>
  <c r="AM17" i="1"/>
  <c r="AM18" i="1"/>
  <c r="AM19" i="1"/>
  <c r="AM20" i="1"/>
  <c r="AM21" i="1"/>
  <c r="AM27" i="1"/>
  <c r="AM28" i="1"/>
  <c r="AM29" i="1"/>
  <c r="AM30" i="1"/>
  <c r="AM35" i="1"/>
  <c r="AM36" i="1"/>
  <c r="AM38" i="1"/>
  <c r="AM33" i="1"/>
  <c r="AM34" i="1"/>
  <c r="AM37" i="1"/>
  <c r="AM39" i="1"/>
  <c r="AM23" i="1"/>
  <c r="AM24" i="1"/>
  <c r="AM25" i="1"/>
  <c r="AM10" i="1"/>
  <c r="V25" i="1" l="1"/>
  <c r="U25" i="1"/>
  <c r="T25" i="1"/>
  <c r="V24" i="1"/>
  <c r="U24" i="1"/>
  <c r="T24" i="1"/>
  <c r="V23" i="1"/>
  <c r="U23" i="1"/>
  <c r="T23" i="1"/>
  <c r="V39" i="1"/>
  <c r="U39" i="1"/>
  <c r="T39" i="1"/>
  <c r="V37" i="1"/>
  <c r="U37" i="1"/>
  <c r="T37" i="1"/>
  <c r="V34" i="1"/>
  <c r="U34" i="1"/>
  <c r="T34" i="1"/>
  <c r="V33" i="1"/>
  <c r="U33" i="1"/>
  <c r="T33" i="1"/>
  <c r="V38" i="1"/>
  <c r="U38" i="1"/>
  <c r="T38" i="1"/>
  <c r="V36" i="1"/>
  <c r="U36" i="1"/>
  <c r="T36" i="1"/>
  <c r="V35" i="1"/>
  <c r="U35" i="1"/>
  <c r="T35" i="1"/>
  <c r="V30" i="1"/>
  <c r="U30" i="1"/>
  <c r="T30" i="1"/>
  <c r="V29" i="1"/>
  <c r="U29" i="1"/>
  <c r="T29" i="1"/>
  <c r="V28" i="1"/>
  <c r="U28" i="1"/>
  <c r="T28" i="1"/>
  <c r="V27" i="1"/>
  <c r="U27" i="1"/>
  <c r="T27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2" i="1"/>
  <c r="U12" i="1"/>
  <c r="T12" i="1"/>
  <c r="O12" i="1" l="1"/>
  <c r="O15" i="1"/>
  <c r="O16" i="1"/>
  <c r="O17" i="1"/>
  <c r="O18" i="1"/>
  <c r="O19" i="1"/>
  <c r="O20" i="1"/>
  <c r="O21" i="1"/>
  <c r="O27" i="1"/>
  <c r="O28" i="1"/>
  <c r="O29" i="1"/>
  <c r="O30" i="1"/>
  <c r="L12" i="1"/>
  <c r="L15" i="1"/>
  <c r="L16" i="1"/>
  <c r="L17" i="1"/>
  <c r="L18" i="1"/>
  <c r="L19" i="1"/>
  <c r="L20" i="1"/>
  <c r="L21" i="1"/>
  <c r="L27" i="1"/>
  <c r="L28" i="1"/>
  <c r="L29" i="1"/>
  <c r="N30" i="1" l="1"/>
  <c r="N35" i="1"/>
  <c r="N36" i="1"/>
  <c r="N38" i="1"/>
  <c r="N33" i="1"/>
  <c r="N34" i="1"/>
  <c r="N37" i="1"/>
  <c r="N39" i="1"/>
  <c r="N23" i="1"/>
  <c r="N24" i="1"/>
  <c r="N25" i="1"/>
  <c r="N15" i="1"/>
  <c r="N16" i="1"/>
  <c r="N17" i="1"/>
  <c r="N18" i="1"/>
  <c r="N19" i="1"/>
  <c r="N20" i="1"/>
  <c r="N21" i="1"/>
  <c r="N27" i="1"/>
  <c r="N28" i="1"/>
  <c r="N29" i="1"/>
  <c r="N12" i="1"/>
  <c r="M12" i="1"/>
  <c r="M15" i="1"/>
  <c r="M16" i="1"/>
  <c r="M17" i="1"/>
  <c r="M18" i="1"/>
  <c r="M19" i="1"/>
  <c r="M20" i="1"/>
  <c r="M21" i="1"/>
  <c r="M27" i="1"/>
  <c r="M28" i="1"/>
  <c r="M29" i="1"/>
  <c r="M30" i="1"/>
  <c r="M35" i="1"/>
  <c r="M36" i="1"/>
  <c r="M38" i="1"/>
  <c r="M33" i="1"/>
  <c r="M34" i="1"/>
  <c r="M37" i="1"/>
  <c r="M39" i="1"/>
  <c r="M23" i="1"/>
  <c r="M24" i="1"/>
  <c r="M25" i="1"/>
  <c r="K12" i="1"/>
  <c r="K15" i="1"/>
  <c r="K16" i="1"/>
  <c r="K17" i="1"/>
  <c r="K18" i="1"/>
  <c r="K19" i="1"/>
  <c r="K20" i="1"/>
  <c r="K21" i="1"/>
  <c r="K27" i="1"/>
  <c r="K28" i="1"/>
  <c r="K29" i="1"/>
  <c r="K30" i="1"/>
  <c r="K35" i="1"/>
  <c r="K36" i="1"/>
  <c r="K38" i="1"/>
  <c r="K33" i="1"/>
  <c r="K34" i="1"/>
  <c r="K37" i="1"/>
  <c r="K39" i="1"/>
  <c r="K23" i="1"/>
  <c r="K24" i="1"/>
  <c r="K25" i="1"/>
  <c r="J18" i="1"/>
  <c r="J19" i="1"/>
  <c r="J20" i="1"/>
  <c r="J21" i="1"/>
  <c r="J27" i="1"/>
  <c r="J12" i="1"/>
  <c r="J15" i="1"/>
  <c r="J16" i="1"/>
  <c r="J17" i="1"/>
  <c r="AO12" i="1"/>
  <c r="AO15" i="1"/>
  <c r="AO16" i="1"/>
  <c r="AO17" i="1"/>
  <c r="AO18" i="1"/>
  <c r="AO19" i="1"/>
  <c r="AO20" i="1"/>
  <c r="AO21" i="1"/>
  <c r="AO27" i="1"/>
  <c r="AO28" i="1"/>
  <c r="AO29" i="1"/>
  <c r="AO30" i="1"/>
  <c r="AH12" i="1"/>
  <c r="AH15" i="1"/>
  <c r="AH16" i="1"/>
  <c r="AH17" i="1"/>
  <c r="AH18" i="1"/>
  <c r="AH19" i="1"/>
  <c r="AH20" i="1"/>
  <c r="AH21" i="1"/>
  <c r="AH27" i="1"/>
  <c r="AH28" i="1"/>
  <c r="AH29" i="1"/>
  <c r="AF17" i="1"/>
  <c r="AF18" i="1"/>
  <c r="W17" i="1"/>
  <c r="W18" i="1"/>
  <c r="P17" i="1" l="1"/>
  <c r="C17" i="1" s="1"/>
  <c r="B17" i="1" s="1"/>
  <c r="P18" i="1"/>
  <c r="C18" i="1" s="1"/>
  <c r="B18" i="1" s="1"/>
  <c r="AO25" i="1" l="1"/>
  <c r="AH25" i="1"/>
  <c r="AE25" i="1"/>
  <c r="AD25" i="1"/>
  <c r="AC25" i="1"/>
  <c r="AB25" i="1"/>
  <c r="O25" i="1"/>
  <c r="L25" i="1"/>
  <c r="J25" i="1"/>
  <c r="AO24" i="1"/>
  <c r="AH24" i="1"/>
  <c r="AE24" i="1"/>
  <c r="AD24" i="1"/>
  <c r="AC24" i="1"/>
  <c r="AB24" i="1"/>
  <c r="O24" i="1"/>
  <c r="L24" i="1"/>
  <c r="J24" i="1"/>
  <c r="AO23" i="1"/>
  <c r="AH23" i="1"/>
  <c r="AE23" i="1"/>
  <c r="AD23" i="1"/>
  <c r="AC23" i="1"/>
  <c r="AB23" i="1"/>
  <c r="O23" i="1"/>
  <c r="L23" i="1"/>
  <c r="J23" i="1"/>
  <c r="AO39" i="1"/>
  <c r="AH39" i="1"/>
  <c r="AE39" i="1"/>
  <c r="AD39" i="1"/>
  <c r="AC39" i="1"/>
  <c r="AB39" i="1"/>
  <c r="O39" i="1"/>
  <c r="L39" i="1"/>
  <c r="J39" i="1"/>
  <c r="AO37" i="1"/>
  <c r="AH37" i="1"/>
  <c r="AE37" i="1"/>
  <c r="AD37" i="1"/>
  <c r="AC37" i="1"/>
  <c r="AB37" i="1"/>
  <c r="O37" i="1"/>
  <c r="L37" i="1"/>
  <c r="J37" i="1"/>
  <c r="AO34" i="1"/>
  <c r="AH34" i="1"/>
  <c r="AE34" i="1"/>
  <c r="AD34" i="1"/>
  <c r="AC34" i="1"/>
  <c r="AB34" i="1"/>
  <c r="O34" i="1"/>
  <c r="L34" i="1"/>
  <c r="J34" i="1"/>
  <c r="AO33" i="1"/>
  <c r="AH33" i="1"/>
  <c r="AE33" i="1"/>
  <c r="AD33" i="1"/>
  <c r="AC33" i="1"/>
  <c r="AB33" i="1"/>
  <c r="O33" i="1"/>
  <c r="L33" i="1"/>
  <c r="J33" i="1"/>
  <c r="AO38" i="1"/>
  <c r="AH38" i="1"/>
  <c r="AE38" i="1"/>
  <c r="AD38" i="1"/>
  <c r="AC38" i="1"/>
  <c r="AB38" i="1"/>
  <c r="O38" i="1"/>
  <c r="L38" i="1"/>
  <c r="J38" i="1"/>
  <c r="AO36" i="1"/>
  <c r="AH36" i="1"/>
  <c r="AE36" i="1"/>
  <c r="AD36" i="1"/>
  <c r="AC36" i="1"/>
  <c r="AB36" i="1"/>
  <c r="O36" i="1"/>
  <c r="L36" i="1"/>
  <c r="J36" i="1"/>
  <c r="AO35" i="1"/>
  <c r="AH35" i="1"/>
  <c r="AE35" i="1"/>
  <c r="AD35" i="1"/>
  <c r="AC35" i="1"/>
  <c r="AB35" i="1"/>
  <c r="O35" i="1"/>
  <c r="L35" i="1"/>
  <c r="J35" i="1"/>
  <c r="AH30" i="1"/>
  <c r="AE30" i="1"/>
  <c r="AD30" i="1"/>
  <c r="AC30" i="1"/>
  <c r="AB30" i="1"/>
  <c r="L30" i="1"/>
  <c r="J30" i="1"/>
  <c r="AE29" i="1"/>
  <c r="AD29" i="1"/>
  <c r="AC29" i="1"/>
  <c r="AB29" i="1"/>
  <c r="J29" i="1"/>
  <c r="AE28" i="1"/>
  <c r="AD28" i="1"/>
  <c r="AC28" i="1"/>
  <c r="AB28" i="1"/>
  <c r="J28" i="1"/>
  <c r="AE27" i="1"/>
  <c r="AD27" i="1"/>
  <c r="AC27" i="1"/>
  <c r="AB27" i="1"/>
  <c r="AE21" i="1"/>
  <c r="AD21" i="1"/>
  <c r="AC21" i="1"/>
  <c r="AB21" i="1"/>
  <c r="AE20" i="1"/>
  <c r="AD20" i="1"/>
  <c r="AC20" i="1"/>
  <c r="AB20" i="1"/>
  <c r="P20" i="1"/>
  <c r="AE19" i="1"/>
  <c r="AD19" i="1"/>
  <c r="AC19" i="1"/>
  <c r="AB19" i="1"/>
  <c r="P19" i="1"/>
  <c r="AE16" i="1"/>
  <c r="AD16" i="1"/>
  <c r="AC16" i="1"/>
  <c r="AB16" i="1"/>
  <c r="P16" i="1"/>
  <c r="AE15" i="1"/>
  <c r="AD15" i="1"/>
  <c r="AC15" i="1"/>
  <c r="AB15" i="1"/>
  <c r="P15" i="1"/>
  <c r="AE12" i="1"/>
  <c r="AD12" i="1"/>
  <c r="AC12" i="1"/>
  <c r="AB12" i="1"/>
  <c r="P12" i="1"/>
  <c r="AO10" i="1"/>
  <c r="AH10" i="1"/>
  <c r="AE10" i="1"/>
  <c r="AD10" i="1"/>
  <c r="AC10" i="1"/>
  <c r="AB10" i="1"/>
  <c r="V10" i="1"/>
  <c r="U10" i="1"/>
  <c r="T10" i="1"/>
  <c r="O10" i="1"/>
  <c r="N10" i="1"/>
  <c r="M10" i="1"/>
  <c r="L10" i="1"/>
  <c r="K10" i="1"/>
  <c r="J10" i="1"/>
  <c r="W12" i="1" l="1"/>
  <c r="W15" i="1"/>
  <c r="AF19" i="1"/>
  <c r="AF16" i="1"/>
  <c r="AF21" i="1"/>
  <c r="AF12" i="1"/>
  <c r="AF15" i="1"/>
  <c r="W16" i="1"/>
  <c r="AF20" i="1"/>
  <c r="AF36" i="1"/>
  <c r="AF38" i="1"/>
  <c r="AF34" i="1"/>
  <c r="AF23" i="1"/>
  <c r="AF25" i="1"/>
  <c r="AF27" i="1"/>
  <c r="AF28" i="1"/>
  <c r="AF29" i="1"/>
  <c r="AF30" i="1"/>
  <c r="AF35" i="1"/>
  <c r="AF33" i="1"/>
  <c r="AF37" i="1"/>
  <c r="AF39" i="1"/>
  <c r="AF24" i="1"/>
  <c r="W23" i="1"/>
  <c r="W10" i="1"/>
  <c r="W29" i="1"/>
  <c r="P35" i="1"/>
  <c r="W35" i="1"/>
  <c r="W24" i="1"/>
  <c r="P29" i="1"/>
  <c r="W20" i="1"/>
  <c r="W21" i="1"/>
  <c r="P37" i="1"/>
  <c r="W37" i="1"/>
  <c r="W39" i="1"/>
  <c r="W19" i="1"/>
  <c r="W33" i="1"/>
  <c r="W34" i="1"/>
  <c r="P28" i="1"/>
  <c r="P24" i="1"/>
  <c r="P10" i="1"/>
  <c r="AF10" i="1"/>
  <c r="P27" i="1"/>
  <c r="W27" i="1"/>
  <c r="P39" i="1"/>
  <c r="P36" i="1"/>
  <c r="P33" i="1"/>
  <c r="W25" i="1"/>
  <c r="P30" i="1"/>
  <c r="P38" i="1"/>
  <c r="P21" i="1"/>
  <c r="W30" i="1"/>
  <c r="W38" i="1"/>
  <c r="P34" i="1"/>
  <c r="P25" i="1"/>
  <c r="W28" i="1"/>
  <c r="W36" i="1"/>
  <c r="P23" i="1"/>
  <c r="C16" i="1" l="1"/>
  <c r="B16" i="1" s="1"/>
  <c r="C20" i="1"/>
  <c r="B20" i="1" s="1"/>
  <c r="C12" i="1"/>
  <c r="B12" i="1" s="1"/>
  <c r="C15" i="1"/>
  <c r="B15" i="1" s="1"/>
  <c r="C35" i="1"/>
  <c r="B35" i="1" s="1"/>
  <c r="C38" i="1"/>
  <c r="B38" i="1" s="1"/>
  <c r="C34" i="1"/>
  <c r="B34" i="1" s="1"/>
  <c r="C30" i="1"/>
  <c r="B30" i="1" s="1"/>
  <c r="C36" i="1"/>
  <c r="B36" i="1" s="1"/>
  <c r="C21" i="1"/>
  <c r="B21" i="1" s="1"/>
  <c r="C25" i="1"/>
  <c r="B25" i="1" s="1"/>
  <c r="C27" i="1"/>
  <c r="B27" i="1" s="1"/>
  <c r="C24" i="1"/>
  <c r="B24" i="1" s="1"/>
  <c r="C23" i="1"/>
  <c r="B23" i="1" s="1"/>
  <c r="C33" i="1"/>
  <c r="B33" i="1" s="1"/>
  <c r="C39" i="1"/>
  <c r="B39" i="1" s="1"/>
  <c r="C28" i="1"/>
  <c r="B28" i="1" s="1"/>
  <c r="C19" i="1"/>
  <c r="B19" i="1" s="1"/>
  <c r="C37" i="1"/>
  <c r="B37" i="1" s="1"/>
  <c r="C29" i="1"/>
  <c r="B29" i="1" s="1"/>
  <c r="C10" i="1"/>
  <c r="B10" i="1" s="1"/>
  <c r="K2" i="1" s="1"/>
  <c r="K4" i="1" l="1"/>
  <c r="K5" i="1"/>
  <c r="K3" i="1"/>
  <c r="K1" i="1" l="1"/>
</calcChain>
</file>

<file path=xl/sharedStrings.xml><?xml version="1.0" encoding="utf-8"?>
<sst xmlns="http://schemas.openxmlformats.org/spreadsheetml/2006/main" count="3678" uniqueCount="393">
  <si>
    <t>DISTINCTION DES CHAMPS À REMPLIR</t>
  </si>
  <si>
    <t>PQCDSM classification</t>
  </si>
  <si>
    <t>C</t>
  </si>
  <si>
    <t>Not Classified</t>
  </si>
  <si>
    <t xml:space="preserve"> --&gt; Maintenance</t>
  </si>
  <si>
    <t>B</t>
  </si>
  <si>
    <t>C Class</t>
  </si>
  <si>
    <t xml:space="preserve"> --&gt; Production </t>
  </si>
  <si>
    <t>A</t>
  </si>
  <si>
    <t>B Class</t>
  </si>
  <si>
    <t xml:space="preserve"> --&gt; Safety and Environment</t>
  </si>
  <si>
    <t>AA</t>
  </si>
  <si>
    <t>A Class</t>
  </si>
  <si>
    <t xml:space="preserve"> --&gt; Qualtiy</t>
  </si>
  <si>
    <t>AA Class</t>
  </si>
  <si>
    <t>input cell</t>
  </si>
  <si>
    <t>output cell</t>
  </si>
  <si>
    <t>computation cell</t>
  </si>
  <si>
    <t>Total --&gt;</t>
  </si>
  <si>
    <t>P</t>
  </si>
  <si>
    <t>Q</t>
  </si>
  <si>
    <t>D</t>
  </si>
  <si>
    <t>S</t>
  </si>
  <si>
    <t>M</t>
  </si>
  <si>
    <t>Machine Name</t>
  </si>
  <si>
    <t>CLASS</t>
  </si>
  <si>
    <t>TOTAL SCORE</t>
  </si>
  <si>
    <t>USAGE</t>
  </si>
  <si>
    <t>BACK-UP</t>
  </si>
  <si>
    <t>% OEE</t>
  </si>
  <si>
    <t>IMPACT</t>
  </si>
  <si>
    <t>LUNCH USAGE</t>
  </si>
  <si>
    <t>MTBF</t>
  </si>
  <si>
    <t>OEE</t>
  </si>
  <si>
    <t>sumP</t>
  </si>
  <si>
    <t>CLAIMS</t>
  </si>
  <si>
    <t>DETECTABILITY</t>
  </si>
  <si>
    <t>REWORK COST</t>
  </si>
  <si>
    <t>sumQ</t>
  </si>
  <si>
    <t>AM</t>
  </si>
  <si>
    <t>PM</t>
  </si>
  <si>
    <t>ENERGY LOSS</t>
  </si>
  <si>
    <t>BUFFER</t>
  </si>
  <si>
    <t>sumD</t>
  </si>
  <si>
    <t>SAF</t>
  </si>
  <si>
    <t>ENV</t>
  </si>
  <si>
    <t>sumS</t>
  </si>
  <si>
    <t>#KAIZEN</t>
  </si>
  <si>
    <t>sumM</t>
  </si>
  <si>
    <t>Coupe Zeta</t>
  </si>
  <si>
    <t>3 shift</t>
  </si>
  <si>
    <t>partial</t>
  </si>
  <si>
    <t>&lt;75%</t>
  </si>
  <si>
    <t>loss of production</t>
  </si>
  <si>
    <t>no</t>
  </si>
  <si>
    <t>&lt;6 days</t>
  </si>
  <si>
    <t>internal</t>
  </si>
  <si>
    <t>in the line</t>
  </si>
  <si>
    <t>&lt;3 €/pcs</t>
  </si>
  <si>
    <t>101-500 €/month</t>
  </si>
  <si>
    <t>&gt;500 €/month</t>
  </si>
  <si>
    <t>few BD/huge cost</t>
  </si>
  <si>
    <t>med</t>
  </si>
  <si>
    <t>&gt;11 pcs</t>
  </si>
  <si>
    <t>&gt;3</t>
  </si>
  <si>
    <t>Coupe Alpha</t>
  </si>
  <si>
    <t>high</t>
  </si>
  <si>
    <t xml:space="preserve">Coupe Gamma </t>
  </si>
  <si>
    <t xml:space="preserve">Coupe Power Strip 1 </t>
  </si>
  <si>
    <t>15-30 days</t>
  </si>
  <si>
    <t>&lt;100 €/month</t>
  </si>
  <si>
    <t>Coupe Power Strip 2</t>
  </si>
  <si>
    <t>Coupe Fonda</t>
  </si>
  <si>
    <t>yes</t>
  </si>
  <si>
    <t>76%-85%</t>
  </si>
  <si>
    <t>frequent BD/ low cost</t>
  </si>
  <si>
    <t>low</t>
  </si>
  <si>
    <t xml:space="preserve">Coupe Kappa </t>
  </si>
  <si>
    <t>&gt;30 days</t>
  </si>
  <si>
    <t>Ultrasonic 1</t>
  </si>
  <si>
    <t>Ultrasonic 2</t>
  </si>
  <si>
    <t>Ultrasonic 3</t>
  </si>
  <si>
    <t>Ultrasonic 4</t>
  </si>
  <si>
    <t>TWIST 1</t>
  </si>
  <si>
    <t>&lt;500 €/month</t>
  </si>
  <si>
    <t>TWIST 2</t>
  </si>
  <si>
    <t>TWIST 3</t>
  </si>
  <si>
    <t>TMH L1 Gpress TE</t>
  </si>
  <si>
    <t>TMH L1 Gpress AMP</t>
  </si>
  <si>
    <t xml:space="preserve">TMH L1 Telegartner </t>
  </si>
  <si>
    <t xml:space="preserve">TMH L1 Denudeuse </t>
  </si>
  <si>
    <t>TMH L1 Test</t>
  </si>
  <si>
    <t>none</t>
  </si>
  <si>
    <t>TMH L1 CIRRIS</t>
  </si>
  <si>
    <t>TMH L2 Telegartner 1</t>
  </si>
  <si>
    <t>TMH L2 Telegartner 2</t>
  </si>
  <si>
    <t>TMH L2 Tableau 1</t>
  </si>
  <si>
    <t xml:space="preserve">TMH L2 Tableau 2 </t>
  </si>
  <si>
    <t>TMH L2 Test</t>
  </si>
  <si>
    <t>TMH L3 Telegarner 1</t>
  </si>
  <si>
    <t>TMH L3 Telegarner 2</t>
  </si>
  <si>
    <t xml:space="preserve">TMH L3 Tableau de Bondage </t>
  </si>
  <si>
    <t>TMH L3 Test</t>
  </si>
  <si>
    <t>TMH L3 CIRRIS</t>
  </si>
  <si>
    <t>TMH L4 Telegartner 1</t>
  </si>
  <si>
    <t>TMH L4 Telegartner 2</t>
  </si>
  <si>
    <t xml:space="preserve">TMH L4 Tableau de Séparation 1 </t>
  </si>
  <si>
    <t>TMH L4  Tableau e Séparation 2</t>
  </si>
  <si>
    <t>TMH L4  Tableau de Bondage 1</t>
  </si>
  <si>
    <t>TMH L4 Tableau de Bondage 2</t>
  </si>
  <si>
    <t xml:space="preserve">TMH L4 Test </t>
  </si>
  <si>
    <t xml:space="preserve">TMH L4 Cirris </t>
  </si>
  <si>
    <t>TMH L5 Telegartner 1</t>
  </si>
  <si>
    <t>TMH L5 Telegartner 2</t>
  </si>
  <si>
    <t xml:space="preserve">TMH L5 Tableau de Séparation </t>
  </si>
  <si>
    <t xml:space="preserve">TMH L5 Tableau de Bondage </t>
  </si>
  <si>
    <t>TMH L5 TEST</t>
  </si>
  <si>
    <t xml:space="preserve">TMH L5 CIRRIS </t>
  </si>
  <si>
    <t>DANFOSS KOMAX BT</t>
  </si>
  <si>
    <t xml:space="preserve">DANFOSS Visseuse </t>
  </si>
  <si>
    <t>DANFOSS Test</t>
  </si>
  <si>
    <t xml:space="preserve">DANFOSS CIRRIS </t>
  </si>
  <si>
    <t>BEUMER L1 Gpress TE</t>
  </si>
  <si>
    <t>BEUMER L1 Gpress TYCO</t>
  </si>
  <si>
    <t>BEUMER L1 WDT</t>
  </si>
  <si>
    <t>BEUMER L1 Dénudeuse coax 5400</t>
  </si>
  <si>
    <t>BEUMER L1 JacketStrimp</t>
  </si>
  <si>
    <t>BEUMER L1 Test</t>
  </si>
  <si>
    <t xml:space="preserve">BEUMER L1 Cirris </t>
  </si>
  <si>
    <t>BEUMER L2 GPRESS TYCO 1</t>
  </si>
  <si>
    <t>BEUMER L2 GPRESS TYCO 2</t>
  </si>
  <si>
    <t>BEUMER L2 WDT</t>
  </si>
  <si>
    <t>&gt;4</t>
  </si>
  <si>
    <t xml:space="preserve">BEUMER L2 Telegartner </t>
  </si>
  <si>
    <t>&gt;5</t>
  </si>
  <si>
    <t xml:space="preserve">BEUMER L2 Visseuse </t>
  </si>
  <si>
    <t>&gt;6</t>
  </si>
  <si>
    <t xml:space="preserve">BEUMER L2 Test </t>
  </si>
  <si>
    <t>&gt;7</t>
  </si>
  <si>
    <t xml:space="preserve">BEUMER L2 Cirris </t>
  </si>
  <si>
    <t>&gt;8</t>
  </si>
  <si>
    <t xml:space="preserve">CARRIER Press Manuel </t>
  </si>
  <si>
    <t>&gt;9</t>
  </si>
  <si>
    <t>CARRIER Test</t>
  </si>
  <si>
    <t>&gt;10</t>
  </si>
  <si>
    <t xml:space="preserve">CARRIER Cirris </t>
  </si>
  <si>
    <t>&gt;11</t>
  </si>
  <si>
    <t>CARRIER Dénudeuse 2600</t>
  </si>
  <si>
    <t>&gt;12</t>
  </si>
  <si>
    <t xml:space="preserve">NECTOR Gpress TYCO </t>
  </si>
  <si>
    <t>&gt;13</t>
  </si>
  <si>
    <t>NECTOR Dénudeuse 2600</t>
  </si>
  <si>
    <t>&gt;14</t>
  </si>
  <si>
    <t>NECTOR Dénudeuse 2500</t>
  </si>
  <si>
    <t>&gt;15</t>
  </si>
  <si>
    <t xml:space="preserve">NECTOR Test </t>
  </si>
  <si>
    <t>&gt;16</t>
  </si>
  <si>
    <t xml:space="preserve">Nector CIRRIS </t>
  </si>
  <si>
    <t>&gt;17</t>
  </si>
  <si>
    <t>APEX-BOSH Telegartner 1</t>
  </si>
  <si>
    <t>&gt;18</t>
  </si>
  <si>
    <t>APEX-BOSH Telegartner 2</t>
  </si>
  <si>
    <t>&gt;19</t>
  </si>
  <si>
    <t>APEX-BOSH Dénudeuse 2600</t>
  </si>
  <si>
    <t>&gt;20</t>
  </si>
  <si>
    <t>APEX-BOSH Test</t>
  </si>
  <si>
    <t>&gt;21</t>
  </si>
  <si>
    <t>APEX-BOSH CIRRIS</t>
  </si>
  <si>
    <t>&gt;22</t>
  </si>
  <si>
    <t>NO MOLDED GPRESS 1</t>
  </si>
  <si>
    <t>&gt;23</t>
  </si>
  <si>
    <t>NO MOLDED GPRESS 2</t>
  </si>
  <si>
    <t>&gt;24</t>
  </si>
  <si>
    <t>NO MOLDED Dénudeuse 2600</t>
  </si>
  <si>
    <t>&gt;25</t>
  </si>
  <si>
    <t>NO MOLDED Dénudeuse 2500</t>
  </si>
  <si>
    <t>&gt;26</t>
  </si>
  <si>
    <t>NO MOLDED Dénudeuse Mira 32</t>
  </si>
  <si>
    <t>&gt;27</t>
  </si>
  <si>
    <t>COAX Dénudeuse CoaxStrip 6580</t>
  </si>
  <si>
    <t>&gt;28</t>
  </si>
  <si>
    <t xml:space="preserve">COAX Telegartner </t>
  </si>
  <si>
    <t>&gt;29</t>
  </si>
  <si>
    <t xml:space="preserve">COAX Aspirateur </t>
  </si>
  <si>
    <t>&gt;30</t>
  </si>
  <si>
    <t xml:space="preserve">COAX Fer à Souder </t>
  </si>
  <si>
    <t>&gt;31</t>
  </si>
  <si>
    <t>COAX Bain d'Etamage</t>
  </si>
  <si>
    <t>&gt;32</t>
  </si>
  <si>
    <t>COAX Poste de Soudage</t>
  </si>
  <si>
    <t>&gt;33</t>
  </si>
  <si>
    <t xml:space="preserve">COAX Test </t>
  </si>
  <si>
    <t>&gt;34</t>
  </si>
  <si>
    <t>COAX CIRRIS</t>
  </si>
  <si>
    <t>&gt;35</t>
  </si>
  <si>
    <t xml:space="preserve">JABIL HANEYWELL Press Connecteur </t>
  </si>
  <si>
    <t>&gt;36</t>
  </si>
  <si>
    <t>JABIL HANEYWELL Test</t>
  </si>
  <si>
    <t>&gt;37</t>
  </si>
  <si>
    <t>JABIL HANEYWELL CIRRIS</t>
  </si>
  <si>
    <t>&gt;38</t>
  </si>
  <si>
    <t>OJE Gpress TYCO</t>
  </si>
  <si>
    <t>&gt;39</t>
  </si>
  <si>
    <t>OJE Gpress AMP</t>
  </si>
  <si>
    <t>&gt;40</t>
  </si>
  <si>
    <t>OJE Dénudeuse 2600</t>
  </si>
  <si>
    <t>&gt;41</t>
  </si>
  <si>
    <t>OJE Test</t>
  </si>
  <si>
    <t>&gt;42</t>
  </si>
  <si>
    <t>OJE CIRRIS</t>
  </si>
  <si>
    <t>&gt;43</t>
  </si>
  <si>
    <t xml:space="preserve">SIEMENS 1 Test </t>
  </si>
  <si>
    <t>&gt;44</t>
  </si>
  <si>
    <t>SIEMENS 1 CIRRIS</t>
  </si>
  <si>
    <t>&gt;45</t>
  </si>
  <si>
    <t xml:space="preserve">SIEMENS 2 Test </t>
  </si>
  <si>
    <t>&gt;46</t>
  </si>
  <si>
    <t>SIEMENS 2 CIRRIS</t>
  </si>
  <si>
    <t>&gt;47</t>
  </si>
  <si>
    <t xml:space="preserve">SIEMENS 3 Test </t>
  </si>
  <si>
    <t>&gt;48</t>
  </si>
  <si>
    <t>SIEMENS 3 CIRRIS</t>
  </si>
  <si>
    <t>&gt;49</t>
  </si>
  <si>
    <t>SCUBA Assembly Connector</t>
  </si>
  <si>
    <t>&gt;50</t>
  </si>
  <si>
    <t>SCUBA Denudeuse 2500</t>
  </si>
  <si>
    <t>&gt;51</t>
  </si>
  <si>
    <t>SCUBA Gpress TYCO</t>
  </si>
  <si>
    <t>&gt;52</t>
  </si>
  <si>
    <t xml:space="preserve">SCUBA Gpress Stripcrimp </t>
  </si>
  <si>
    <t>&gt;53</t>
  </si>
  <si>
    <t>SCUBA Fer à souder 1</t>
  </si>
  <si>
    <t>&gt;54</t>
  </si>
  <si>
    <t>SCUBA Fer à Souder  2</t>
  </si>
  <si>
    <t>&gt;55</t>
  </si>
  <si>
    <t xml:space="preserve">SCUBA CIRRIS </t>
  </si>
  <si>
    <t>&gt;58</t>
  </si>
  <si>
    <t>SCUBA Test</t>
  </si>
  <si>
    <t>In laboratory</t>
  </si>
  <si>
    <t>&gt;59</t>
  </si>
  <si>
    <t xml:space="preserve">SCUBA Machine Fonda </t>
  </si>
  <si>
    <t>&gt;60</t>
  </si>
  <si>
    <t xml:space="preserve">SENSORS HR Connector assembly </t>
  </si>
  <si>
    <t>&gt;61</t>
  </si>
  <si>
    <t>SENSORS HR CIRRIS Connector</t>
  </si>
  <si>
    <t>&gt;62</t>
  </si>
  <si>
    <t>SENSORS HR Test Connector</t>
  </si>
  <si>
    <t>&gt;63</t>
  </si>
  <si>
    <t>SENSORS HR Dénudeuse Mira 230</t>
  </si>
  <si>
    <t>&gt;64</t>
  </si>
  <si>
    <t>SENSORS HR Dénudeuse 4 fils</t>
  </si>
  <si>
    <t>&gt;65</t>
  </si>
  <si>
    <t>SENSORS HR Fer à souder 1</t>
  </si>
  <si>
    <t>&gt;66</t>
  </si>
  <si>
    <t>SENSORS HR Bain d'Etamage 1</t>
  </si>
  <si>
    <t>&gt;67</t>
  </si>
  <si>
    <t>SENSORS HR Aspirateur 1</t>
  </si>
  <si>
    <t>&gt;68</t>
  </si>
  <si>
    <t>SENSORS HR Fer à Souder  2</t>
  </si>
  <si>
    <t>&gt;69</t>
  </si>
  <si>
    <t>SENSORS HR Bain d'Etamage 2</t>
  </si>
  <si>
    <t>&gt;70</t>
  </si>
  <si>
    <t>SENSORS HR Aspirateur 2</t>
  </si>
  <si>
    <t>&gt;71</t>
  </si>
  <si>
    <t>SENSORS HR Gpress StripCrimp</t>
  </si>
  <si>
    <t>&gt;72</t>
  </si>
  <si>
    <t>SENSORS HR Gpress Ring</t>
  </si>
  <si>
    <t>&gt;73</t>
  </si>
  <si>
    <t xml:space="preserve">SENSORS HR CIRRIS </t>
  </si>
  <si>
    <t>&gt;74</t>
  </si>
  <si>
    <t>SENSORS HR Test</t>
  </si>
  <si>
    <t>&gt;75</t>
  </si>
  <si>
    <t xml:space="preserve">SENSORS LR Connecteurs Assembly </t>
  </si>
  <si>
    <t>&gt;76</t>
  </si>
  <si>
    <t>SENSORS LR Dénudeuse 2600</t>
  </si>
  <si>
    <t>&gt;77</t>
  </si>
  <si>
    <t>SENSORS LR Dénudeuse 2500</t>
  </si>
  <si>
    <t>&gt;78</t>
  </si>
  <si>
    <t>SENSORS LR Dénudeuse CoaxStrip</t>
  </si>
  <si>
    <t>&gt;79</t>
  </si>
  <si>
    <t xml:space="preserve">SENSORS LR Dénudeuse 4 fils </t>
  </si>
  <si>
    <t>&gt;80</t>
  </si>
  <si>
    <t>SENSORS LR Fer à souder 1</t>
  </si>
  <si>
    <t>&gt;81</t>
  </si>
  <si>
    <t>SENSORS LR Fer Bain d'Etamage 1</t>
  </si>
  <si>
    <t>&gt;82</t>
  </si>
  <si>
    <t>SENSORS LR Bain Aspirateur 1</t>
  </si>
  <si>
    <t>&gt;83</t>
  </si>
  <si>
    <t>SENSORS LR Fer à souder 2</t>
  </si>
  <si>
    <t>&gt;84</t>
  </si>
  <si>
    <t>SENSORS LR Fer Bain d'Etamage 2</t>
  </si>
  <si>
    <t>&gt;85</t>
  </si>
  <si>
    <t>SENSORS LR Bain Aspirateur 12</t>
  </si>
  <si>
    <t>&gt;86</t>
  </si>
  <si>
    <t xml:space="preserve">SENSORS LR Gpress TE </t>
  </si>
  <si>
    <t>&gt;87</t>
  </si>
  <si>
    <t>SENSORS LR Gpress Tyco (Ferite)</t>
  </si>
  <si>
    <t>&gt;88</t>
  </si>
  <si>
    <t xml:space="preserve">SENSORS LR CIRRIS </t>
  </si>
  <si>
    <t>&gt;89</t>
  </si>
  <si>
    <t>SENSORS LR Test</t>
  </si>
  <si>
    <t>&gt;90</t>
  </si>
  <si>
    <t xml:space="preserve">Controle Final 1 Cirris </t>
  </si>
  <si>
    <t>&gt;91</t>
  </si>
  <si>
    <t xml:space="preserve">Controle Final 2 Cirris </t>
  </si>
  <si>
    <t>&gt;92</t>
  </si>
  <si>
    <t xml:space="preserve">Controle Final 3 Cirris </t>
  </si>
  <si>
    <t>&gt;93</t>
  </si>
  <si>
    <t xml:space="preserve">Controle Final 4 Cirris </t>
  </si>
  <si>
    <t>&gt;94</t>
  </si>
  <si>
    <t xml:space="preserve">Controle Final 5 Cirris </t>
  </si>
  <si>
    <t>&gt;95</t>
  </si>
  <si>
    <t>Controle Final 1 Test</t>
  </si>
  <si>
    <t>&gt;86%</t>
  </si>
  <si>
    <t>&gt;96</t>
  </si>
  <si>
    <t>Controle Final 2 Test</t>
  </si>
  <si>
    <t>&gt;97</t>
  </si>
  <si>
    <t>Controle Final 3 Test</t>
  </si>
  <si>
    <t>&gt;98</t>
  </si>
  <si>
    <t>Controle Final 4 Test</t>
  </si>
  <si>
    <t>Controle Final 5 Test</t>
  </si>
  <si>
    <t>BOY 1</t>
  </si>
  <si>
    <t>BOY 2</t>
  </si>
  <si>
    <t>BOY 3</t>
  </si>
  <si>
    <t>BOY 4</t>
  </si>
  <si>
    <t xml:space="preserve">Plasma </t>
  </si>
  <si>
    <t>Optimel</t>
  </si>
  <si>
    <t>Gpress Ring (Zone Injection)</t>
  </si>
  <si>
    <t xml:space="preserve">Alpha Jet Noir </t>
  </si>
  <si>
    <t>Alpha Jet Blanc</t>
  </si>
  <si>
    <t>Plastifieuse 1</t>
  </si>
  <si>
    <t>Plastifieuse 2</t>
  </si>
  <si>
    <t>Frequences</t>
  </si>
  <si>
    <t>Cumules</t>
  </si>
  <si>
    <t>Backup 1</t>
  </si>
  <si>
    <t>Backup 2</t>
  </si>
  <si>
    <t>Backup 3</t>
  </si>
  <si>
    <t>Backup 4</t>
  </si>
  <si>
    <t>Automotive Plant</t>
  </si>
  <si>
    <t>ICT Plant</t>
  </si>
  <si>
    <t>Coupe Kappa</t>
  </si>
  <si>
    <t>spare parts available</t>
  </si>
  <si>
    <t xml:space="preserve">Coupe manuel </t>
  </si>
  <si>
    <t>TMH L2 CIRRIS</t>
  </si>
  <si>
    <t>TMH L4 CIRRIS</t>
  </si>
  <si>
    <t xml:space="preserve">TMH L6 CIRRIS </t>
  </si>
  <si>
    <t>Smanual Strimping</t>
  </si>
  <si>
    <t>Press Manuel Backup</t>
  </si>
  <si>
    <t>Fer à souder backup 1</t>
  </si>
  <si>
    <t>Fer à souder backup 2</t>
  </si>
  <si>
    <t>Fer à souder backup 3</t>
  </si>
  <si>
    <t>Fer à souder backup 4</t>
  </si>
  <si>
    <t>Bain d'Etamage Backup 1</t>
  </si>
  <si>
    <t>Bain d'Etamage Backup 2</t>
  </si>
  <si>
    <t>Handtool</t>
  </si>
  <si>
    <t>Machine backup (Workshop Maintenance)</t>
  </si>
  <si>
    <t>Séchoir</t>
  </si>
  <si>
    <t>Connecteur Assembly Backup</t>
  </si>
  <si>
    <t>SENSORS LR Aspirateur 1</t>
  </si>
  <si>
    <t>SENSORS LR Gpress StripCrimp</t>
  </si>
  <si>
    <t>Connecteurs Assembly  Backup</t>
  </si>
  <si>
    <t>SENSORS LR Aspirateur 2</t>
  </si>
  <si>
    <t>usage</t>
  </si>
  <si>
    <t>back up</t>
  </si>
  <si>
    <t xml:space="preserve">impact </t>
  </si>
  <si>
    <t xml:space="preserve">lunch </t>
  </si>
  <si>
    <t>mtbf frequency</t>
  </si>
  <si>
    <t>plant stops</t>
  </si>
  <si>
    <t>2 shift</t>
  </si>
  <si>
    <t>6-15 days</t>
  </si>
  <si>
    <t>1 shift or occasionally</t>
  </si>
  <si>
    <t>claims</t>
  </si>
  <si>
    <t>detectability</t>
  </si>
  <si>
    <t>rework cost</t>
  </si>
  <si>
    <t>customer</t>
  </si>
  <si>
    <t>end of line</t>
  </si>
  <si>
    <t>&gt;10 €/pcs</t>
  </si>
  <si>
    <t>3-10 €/pcs</t>
  </si>
  <si>
    <t>impact</t>
  </si>
  <si>
    <t>energyloss</t>
  </si>
  <si>
    <t>no impact</t>
  </si>
  <si>
    <t>Buffer availab</t>
  </si>
  <si>
    <t>tight flow</t>
  </si>
  <si>
    <t>&lt;10 pcs</t>
  </si>
  <si>
    <t>EHS</t>
  </si>
  <si>
    <t>safety</t>
  </si>
  <si>
    <t>environment</t>
  </si>
  <si>
    <t>risk of fatal accident</t>
  </si>
  <si>
    <t>risk of insure</t>
  </si>
  <si>
    <t>ligh</t>
  </si>
  <si>
    <t>risk of medical attendance</t>
  </si>
  <si>
    <t>#kaizen</t>
  </si>
  <si>
    <t>&lt;2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</si>
</sst>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6100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9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4" xfId="2" applyFont="1" applyBorder="1" applyAlignment="1" applyProtection="1">
      <alignment horizontal="center" vertical="center"/>
    </xf>
    <xf numFmtId="0" fontId="7" fillId="2" borderId="4" xfId="1" applyFont="1" applyBorder="1" applyAlignment="1" applyProtection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7" fillId="4" borderId="0" xfId="1" applyFont="1" applyFill="1" applyBorder="1" applyAlignment="1" applyProtection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textRotation="90" wrapText="1"/>
    </xf>
    <xf numFmtId="0" fontId="6" fillId="4" borderId="0" xfId="0" applyFont="1" applyFill="1" applyAlignment="1">
      <alignment horizontal="center"/>
    </xf>
    <xf numFmtId="0" fontId="5" fillId="4" borderId="2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3" fillId="0" borderId="0" xfId="0" applyFont="1"/>
    <xf numFmtId="0" fontId="0" fillId="8" borderId="13" xfId="0" applyFill="1" applyBorder="1"/>
    <xf numFmtId="0" fontId="0" fillId="0" borderId="6" xfId="0" applyBorder="1"/>
    <xf numFmtId="0" fontId="0" fillId="0" borderId="7" xfId="0" applyBorder="1"/>
    <xf numFmtId="0" fontId="0" fillId="8" borderId="6" xfId="0" applyFill="1" applyBorder="1"/>
    <xf numFmtId="0" fontId="0" fillId="8" borderId="16" xfId="0" applyFill="1" applyBorder="1"/>
    <xf numFmtId="0" fontId="0" fillId="0" borderId="22" xfId="0" applyBorder="1"/>
    <xf numFmtId="0" fontId="0" fillId="8" borderId="5" xfId="0" applyFill="1" applyBorder="1" applyAlignment="1">
      <alignment horizontal="right"/>
    </xf>
    <xf numFmtId="0" fontId="0" fillId="8" borderId="12" xfId="0" applyFill="1" applyBorder="1" applyAlignment="1">
      <alignment horizontal="right"/>
    </xf>
    <xf numFmtId="0" fontId="0" fillId="8" borderId="15" xfId="0" applyFill="1" applyBorder="1" applyAlignment="1">
      <alignment horizontal="right"/>
    </xf>
    <xf numFmtId="0" fontId="5" fillId="0" borderId="8" xfId="0" applyFont="1" applyBorder="1" applyAlignment="1" applyProtection="1">
      <alignment horizontal="left" vertical="center"/>
      <protection locked="0"/>
    </xf>
    <xf numFmtId="9" fontId="0" fillId="0" borderId="8" xfId="0" applyNumberFormat="1" applyBorder="1" applyAlignment="1">
      <alignment horizontal="center"/>
    </xf>
    <xf numFmtId="0" fontId="5" fillId="3" borderId="8" xfId="2" applyFont="1" applyBorder="1" applyAlignment="1" applyProtection="1">
      <alignment horizontal="center"/>
      <protection locked="0"/>
    </xf>
    <xf numFmtId="0" fontId="5" fillId="0" borderId="8" xfId="0" applyFont="1" applyBorder="1" applyAlignment="1">
      <alignment horizontal="center"/>
    </xf>
    <xf numFmtId="0" fontId="8" fillId="2" borderId="8" xfId="1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10" fillId="4" borderId="21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9" fontId="0" fillId="0" borderId="27" xfId="3" applyFont="1" applyBorder="1" applyAlignment="1">
      <alignment horizontal="center"/>
    </xf>
    <xf numFmtId="0" fontId="6" fillId="9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14" borderId="2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Good" xfId="1" builtinId="26"/>
    <cellStyle name="Normal" xfId="0" builtinId="0"/>
    <cellStyle name="Note" xfId="2" builtinId="10"/>
    <cellStyle name="Percent" xfId="3" builtinId="5"/>
  </cellStyles>
  <dxfs count="2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Classification</a:t>
            </a:r>
            <a:r>
              <a:rPr lang="fr-FR" baseline="0"/>
              <a:t> Machine 10-2022</a:t>
            </a:r>
            <a:endParaRPr lang="fr-FR"/>
          </a:p>
        </c:rich>
      </c:tx>
      <c:layout>
        <c:manualLayout>
          <c:xMode val="edge"/>
          <c:yMode val="edge"/>
          <c:x val="0.39652896630548046"/>
          <c:y val="1.4153396066788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PARETO!$C$1</c:f>
              <c:strCache>
                <c:ptCount val="1"/>
                <c:pt idx="0">
                  <c:v>TOTAL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PARETO!$A$2:$A$62</c:f>
              <c:strCache>
                <c:ptCount val="61"/>
                <c:pt idx="0">
                  <c:v>Coupe Alpha</c:v>
                </c:pt>
                <c:pt idx="1">
                  <c:v>Coupe Zeta</c:v>
                </c:pt>
                <c:pt idx="2">
                  <c:v>Coupe Gamma </c:v>
                </c:pt>
                <c:pt idx="3">
                  <c:v>BOY 1</c:v>
                </c:pt>
                <c:pt idx="4">
                  <c:v>BOY 2</c:v>
                </c:pt>
                <c:pt idx="5">
                  <c:v>BOY 3</c:v>
                </c:pt>
                <c:pt idx="6">
                  <c:v>BOY 4</c:v>
                </c:pt>
                <c:pt idx="7">
                  <c:v>SENSORS HR Gpress StripCrimp</c:v>
                </c:pt>
                <c:pt idx="8">
                  <c:v>SENSORS HR Aspirateur 2</c:v>
                </c:pt>
                <c:pt idx="9">
                  <c:v>SENSORS HR Bain d'Etamage 2</c:v>
                </c:pt>
                <c:pt idx="10">
                  <c:v>SENSORS LR Test</c:v>
                </c:pt>
                <c:pt idx="11">
                  <c:v>SENSORS HR Fer à Souder  2</c:v>
                </c:pt>
                <c:pt idx="12">
                  <c:v>Coupe Power Strip 1 </c:v>
                </c:pt>
                <c:pt idx="13">
                  <c:v>SENSORS HR Aspirateur 1</c:v>
                </c:pt>
                <c:pt idx="14">
                  <c:v>Plastifieuse 1</c:v>
                </c:pt>
                <c:pt idx="15">
                  <c:v>Plastifieuse 2</c:v>
                </c:pt>
                <c:pt idx="16">
                  <c:v>SENSORS HR Bain d'Etamage 1</c:v>
                </c:pt>
                <c:pt idx="17">
                  <c:v>SENSORS HR Fer à souder 1</c:v>
                </c:pt>
                <c:pt idx="18">
                  <c:v>SENSORS HR Dénudeuse 4 fils</c:v>
                </c:pt>
                <c:pt idx="19">
                  <c:v>SENSORS HR Dénudeuse Mira 230</c:v>
                </c:pt>
                <c:pt idx="20">
                  <c:v>Coupe Power Strip 2</c:v>
                </c:pt>
                <c:pt idx="21">
                  <c:v>SIEMENS 3 Test </c:v>
                </c:pt>
                <c:pt idx="22">
                  <c:v>Controle Final 3 Test</c:v>
                </c:pt>
                <c:pt idx="23">
                  <c:v>Controle Final 4 Test</c:v>
                </c:pt>
                <c:pt idx="24">
                  <c:v>Controle Final 5 Test</c:v>
                </c:pt>
                <c:pt idx="25">
                  <c:v>Plasma </c:v>
                </c:pt>
                <c:pt idx="26">
                  <c:v>Optimel</c:v>
                </c:pt>
                <c:pt idx="27">
                  <c:v>Gpress Ring (Zone Injection)</c:v>
                </c:pt>
                <c:pt idx="28">
                  <c:v>Alpha Jet Noir </c:v>
                </c:pt>
                <c:pt idx="29">
                  <c:v>Alpha Jet Blanc</c:v>
                </c:pt>
                <c:pt idx="30">
                  <c:v>SENSORS HR CIRRIS Connector</c:v>
                </c:pt>
                <c:pt idx="31">
                  <c:v>Controle Final 2 Test</c:v>
                </c:pt>
                <c:pt idx="32">
                  <c:v>SIEMENS 2 Test </c:v>
                </c:pt>
                <c:pt idx="33">
                  <c:v>SENSORS HR Connector assembly </c:v>
                </c:pt>
                <c:pt idx="34">
                  <c:v>Controle Final 1 Test</c:v>
                </c:pt>
                <c:pt idx="35">
                  <c:v>SCUBA Machine Fonda </c:v>
                </c:pt>
                <c:pt idx="36">
                  <c:v>Controle Final 5 Cirris </c:v>
                </c:pt>
                <c:pt idx="37">
                  <c:v>SIEMENS 1 Test </c:v>
                </c:pt>
                <c:pt idx="38">
                  <c:v>Controle Final 4 Cirris </c:v>
                </c:pt>
                <c:pt idx="39">
                  <c:v>SCUBA CIRRIS </c:v>
                </c:pt>
                <c:pt idx="40">
                  <c:v>Controle Final 3 Cirris </c:v>
                </c:pt>
                <c:pt idx="41">
                  <c:v>OJE Test</c:v>
                </c:pt>
                <c:pt idx="42">
                  <c:v>Controle Final 2 Cirris </c:v>
                </c:pt>
                <c:pt idx="43">
                  <c:v>Controle Final 1 Cirris </c:v>
                </c:pt>
                <c:pt idx="44">
                  <c:v>SCUBA Fer à Souder  2</c:v>
                </c:pt>
                <c:pt idx="45">
                  <c:v>SENSORS HR Test</c:v>
                </c:pt>
                <c:pt idx="46">
                  <c:v>SCUBA Fer à souder 1</c:v>
                </c:pt>
                <c:pt idx="47">
                  <c:v>SENSORS LR CIRRIS </c:v>
                </c:pt>
                <c:pt idx="48">
                  <c:v>SCUBA Gpress Stripcrimp </c:v>
                </c:pt>
                <c:pt idx="49">
                  <c:v>SENSORS LR Gpress Tyco (Ferite)</c:v>
                </c:pt>
                <c:pt idx="50">
                  <c:v>JABIL HANEYWELL Test</c:v>
                </c:pt>
                <c:pt idx="51">
                  <c:v>SCUBA Gpress TYCO</c:v>
                </c:pt>
                <c:pt idx="52">
                  <c:v>SENSORS LR Gpress TE </c:v>
                </c:pt>
                <c:pt idx="53">
                  <c:v>SCUBA Denudeuse 2500</c:v>
                </c:pt>
                <c:pt idx="54">
                  <c:v>SENSORS LR Bain Aspirateur 12</c:v>
                </c:pt>
                <c:pt idx="55">
                  <c:v>SCUBA Assembly Connector</c:v>
                </c:pt>
                <c:pt idx="56">
                  <c:v>SENSORS LR Fer Bain d'Etamage 2</c:v>
                </c:pt>
                <c:pt idx="57">
                  <c:v>COAX Test </c:v>
                </c:pt>
                <c:pt idx="58">
                  <c:v>SIEMENS 3 CIRRIS</c:v>
                </c:pt>
                <c:pt idx="59">
                  <c:v>SENSORS LR Fer à souder 2</c:v>
                </c:pt>
                <c:pt idx="60">
                  <c:v>Ultrasonic 2</c:v>
                </c:pt>
              </c:strCache>
            </c:strRef>
          </c:cat>
          <c:val>
            <c:numRef>
              <c:f>PARETO!$C$2:$C$62</c:f>
              <c:numCache>
                <c:formatCode>General</c:formatCode>
                <c:ptCount val="61"/>
                <c:pt idx="0">
                  <c:v>270</c:v>
                </c:pt>
                <c:pt idx="1">
                  <c:v>265</c:v>
                </c:pt>
                <c:pt idx="2">
                  <c:v>265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249</c:v>
                </c:pt>
                <c:pt idx="8">
                  <c:v>248</c:v>
                </c:pt>
                <c:pt idx="9">
                  <c:v>247</c:v>
                </c:pt>
                <c:pt idx="10">
                  <c:v>247</c:v>
                </c:pt>
                <c:pt idx="11">
                  <c:v>246</c:v>
                </c:pt>
                <c:pt idx="12">
                  <c:v>245</c:v>
                </c:pt>
                <c:pt idx="13">
                  <c:v>245</c:v>
                </c:pt>
                <c:pt idx="14">
                  <c:v>245</c:v>
                </c:pt>
                <c:pt idx="15">
                  <c:v>245</c:v>
                </c:pt>
                <c:pt idx="16">
                  <c:v>244</c:v>
                </c:pt>
                <c:pt idx="17">
                  <c:v>243</c:v>
                </c:pt>
                <c:pt idx="18">
                  <c:v>242</c:v>
                </c:pt>
                <c:pt idx="19">
                  <c:v>241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240</c:v>
                </c:pt>
                <c:pt idx="30">
                  <c:v>239</c:v>
                </c:pt>
                <c:pt idx="31">
                  <c:v>239</c:v>
                </c:pt>
                <c:pt idx="32">
                  <c:v>238</c:v>
                </c:pt>
                <c:pt idx="33">
                  <c:v>238</c:v>
                </c:pt>
                <c:pt idx="34">
                  <c:v>238</c:v>
                </c:pt>
                <c:pt idx="35">
                  <c:v>237</c:v>
                </c:pt>
                <c:pt idx="36">
                  <c:v>237</c:v>
                </c:pt>
                <c:pt idx="37">
                  <c:v>236</c:v>
                </c:pt>
                <c:pt idx="38">
                  <c:v>236</c:v>
                </c:pt>
                <c:pt idx="39">
                  <c:v>235</c:v>
                </c:pt>
                <c:pt idx="40">
                  <c:v>235</c:v>
                </c:pt>
                <c:pt idx="41">
                  <c:v>234</c:v>
                </c:pt>
                <c:pt idx="42">
                  <c:v>234</c:v>
                </c:pt>
                <c:pt idx="43">
                  <c:v>233</c:v>
                </c:pt>
                <c:pt idx="44">
                  <c:v>232</c:v>
                </c:pt>
                <c:pt idx="45">
                  <c:v>232</c:v>
                </c:pt>
                <c:pt idx="46">
                  <c:v>231</c:v>
                </c:pt>
                <c:pt idx="47">
                  <c:v>231</c:v>
                </c:pt>
                <c:pt idx="48">
                  <c:v>230</c:v>
                </c:pt>
                <c:pt idx="49">
                  <c:v>230</c:v>
                </c:pt>
                <c:pt idx="50">
                  <c:v>229</c:v>
                </c:pt>
                <c:pt idx="51">
                  <c:v>229</c:v>
                </c:pt>
                <c:pt idx="52">
                  <c:v>229</c:v>
                </c:pt>
                <c:pt idx="53">
                  <c:v>228</c:v>
                </c:pt>
                <c:pt idx="54">
                  <c:v>228</c:v>
                </c:pt>
                <c:pt idx="55">
                  <c:v>227</c:v>
                </c:pt>
                <c:pt idx="56">
                  <c:v>227</c:v>
                </c:pt>
                <c:pt idx="57">
                  <c:v>226</c:v>
                </c:pt>
                <c:pt idx="58">
                  <c:v>226</c:v>
                </c:pt>
                <c:pt idx="59">
                  <c:v>226</c:v>
                </c:pt>
                <c:pt idx="60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A-49D9-B204-039A14B7BCBC}"/>
            </c:ext>
          </c:extLst>
        </c:ser>
        <c:ser>
          <c:idx val="1"/>
          <c:order val="1"/>
          <c:tx>
            <c:strRef>
              <c:f>PARETO!$D$1</c:f>
              <c:strCache>
                <c:ptCount val="1"/>
                <c:pt idx="0">
                  <c:v>Frequences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PARETO!$A$2:$A$62</c:f>
              <c:strCache>
                <c:ptCount val="61"/>
                <c:pt idx="0">
                  <c:v>Coupe Alpha</c:v>
                </c:pt>
                <c:pt idx="1">
                  <c:v>Coupe Zeta</c:v>
                </c:pt>
                <c:pt idx="2">
                  <c:v>Coupe Gamma </c:v>
                </c:pt>
                <c:pt idx="3">
                  <c:v>BOY 1</c:v>
                </c:pt>
                <c:pt idx="4">
                  <c:v>BOY 2</c:v>
                </c:pt>
                <c:pt idx="5">
                  <c:v>BOY 3</c:v>
                </c:pt>
                <c:pt idx="6">
                  <c:v>BOY 4</c:v>
                </c:pt>
                <c:pt idx="7">
                  <c:v>SENSORS HR Gpress StripCrimp</c:v>
                </c:pt>
                <c:pt idx="8">
                  <c:v>SENSORS HR Aspirateur 2</c:v>
                </c:pt>
                <c:pt idx="9">
                  <c:v>SENSORS HR Bain d'Etamage 2</c:v>
                </c:pt>
                <c:pt idx="10">
                  <c:v>SENSORS LR Test</c:v>
                </c:pt>
                <c:pt idx="11">
                  <c:v>SENSORS HR Fer à Souder  2</c:v>
                </c:pt>
                <c:pt idx="12">
                  <c:v>Coupe Power Strip 1 </c:v>
                </c:pt>
                <c:pt idx="13">
                  <c:v>SENSORS HR Aspirateur 1</c:v>
                </c:pt>
                <c:pt idx="14">
                  <c:v>Plastifieuse 1</c:v>
                </c:pt>
                <c:pt idx="15">
                  <c:v>Plastifieuse 2</c:v>
                </c:pt>
                <c:pt idx="16">
                  <c:v>SENSORS HR Bain d'Etamage 1</c:v>
                </c:pt>
                <c:pt idx="17">
                  <c:v>SENSORS HR Fer à souder 1</c:v>
                </c:pt>
                <c:pt idx="18">
                  <c:v>SENSORS HR Dénudeuse 4 fils</c:v>
                </c:pt>
                <c:pt idx="19">
                  <c:v>SENSORS HR Dénudeuse Mira 230</c:v>
                </c:pt>
                <c:pt idx="20">
                  <c:v>Coupe Power Strip 2</c:v>
                </c:pt>
                <c:pt idx="21">
                  <c:v>SIEMENS 3 Test </c:v>
                </c:pt>
                <c:pt idx="22">
                  <c:v>Controle Final 3 Test</c:v>
                </c:pt>
                <c:pt idx="23">
                  <c:v>Controle Final 4 Test</c:v>
                </c:pt>
                <c:pt idx="24">
                  <c:v>Controle Final 5 Test</c:v>
                </c:pt>
                <c:pt idx="25">
                  <c:v>Plasma </c:v>
                </c:pt>
                <c:pt idx="26">
                  <c:v>Optimel</c:v>
                </c:pt>
                <c:pt idx="27">
                  <c:v>Gpress Ring (Zone Injection)</c:v>
                </c:pt>
                <c:pt idx="28">
                  <c:v>Alpha Jet Noir </c:v>
                </c:pt>
                <c:pt idx="29">
                  <c:v>Alpha Jet Blanc</c:v>
                </c:pt>
                <c:pt idx="30">
                  <c:v>SENSORS HR CIRRIS Connector</c:v>
                </c:pt>
                <c:pt idx="31">
                  <c:v>Controle Final 2 Test</c:v>
                </c:pt>
                <c:pt idx="32">
                  <c:v>SIEMENS 2 Test </c:v>
                </c:pt>
                <c:pt idx="33">
                  <c:v>SENSORS HR Connector assembly </c:v>
                </c:pt>
                <c:pt idx="34">
                  <c:v>Controle Final 1 Test</c:v>
                </c:pt>
                <c:pt idx="35">
                  <c:v>SCUBA Machine Fonda </c:v>
                </c:pt>
                <c:pt idx="36">
                  <c:v>Controle Final 5 Cirris </c:v>
                </c:pt>
                <c:pt idx="37">
                  <c:v>SIEMENS 1 Test </c:v>
                </c:pt>
                <c:pt idx="38">
                  <c:v>Controle Final 4 Cirris </c:v>
                </c:pt>
                <c:pt idx="39">
                  <c:v>SCUBA CIRRIS </c:v>
                </c:pt>
                <c:pt idx="40">
                  <c:v>Controle Final 3 Cirris </c:v>
                </c:pt>
                <c:pt idx="41">
                  <c:v>OJE Test</c:v>
                </c:pt>
                <c:pt idx="42">
                  <c:v>Controle Final 2 Cirris </c:v>
                </c:pt>
                <c:pt idx="43">
                  <c:v>Controle Final 1 Cirris </c:v>
                </c:pt>
                <c:pt idx="44">
                  <c:v>SCUBA Fer à Souder  2</c:v>
                </c:pt>
                <c:pt idx="45">
                  <c:v>SENSORS HR Test</c:v>
                </c:pt>
                <c:pt idx="46">
                  <c:v>SCUBA Fer à souder 1</c:v>
                </c:pt>
                <c:pt idx="47">
                  <c:v>SENSORS LR CIRRIS </c:v>
                </c:pt>
                <c:pt idx="48">
                  <c:v>SCUBA Gpress Stripcrimp </c:v>
                </c:pt>
                <c:pt idx="49">
                  <c:v>SENSORS LR Gpress Tyco (Ferite)</c:v>
                </c:pt>
                <c:pt idx="50">
                  <c:v>JABIL HANEYWELL Test</c:v>
                </c:pt>
                <c:pt idx="51">
                  <c:v>SCUBA Gpress TYCO</c:v>
                </c:pt>
                <c:pt idx="52">
                  <c:v>SENSORS LR Gpress TE </c:v>
                </c:pt>
                <c:pt idx="53">
                  <c:v>SCUBA Denudeuse 2500</c:v>
                </c:pt>
                <c:pt idx="54">
                  <c:v>SENSORS LR Bain Aspirateur 12</c:v>
                </c:pt>
                <c:pt idx="55">
                  <c:v>SCUBA Assembly Connector</c:v>
                </c:pt>
                <c:pt idx="56">
                  <c:v>SENSORS LR Fer Bain d'Etamage 2</c:v>
                </c:pt>
                <c:pt idx="57">
                  <c:v>COAX Test </c:v>
                </c:pt>
                <c:pt idx="58">
                  <c:v>SIEMENS 3 CIRRIS</c:v>
                </c:pt>
                <c:pt idx="59">
                  <c:v>SENSORS LR Fer à souder 2</c:v>
                </c:pt>
                <c:pt idx="60">
                  <c:v>Ultrasonic 2</c:v>
                </c:pt>
              </c:strCache>
            </c:strRef>
          </c:cat>
          <c:val>
            <c:numRef>
              <c:f>PARETO!$D$2:$D$62</c:f>
              <c:numCache>
                <c:formatCode>0%</c:formatCode>
                <c:ptCount val="61"/>
                <c:pt idx="0">
                  <c:v>7.9264891524528074E-3</c:v>
                </c:pt>
                <c:pt idx="1">
                  <c:v>7.7797023162962742E-3</c:v>
                </c:pt>
                <c:pt idx="2">
                  <c:v>7.7797023162962742E-3</c:v>
                </c:pt>
                <c:pt idx="3">
                  <c:v>7.632915480139741E-3</c:v>
                </c:pt>
                <c:pt idx="4">
                  <c:v>7.632915480139741E-3</c:v>
                </c:pt>
                <c:pt idx="5">
                  <c:v>7.632915480139741E-3</c:v>
                </c:pt>
                <c:pt idx="6">
                  <c:v>7.632915480139741E-3</c:v>
                </c:pt>
                <c:pt idx="7">
                  <c:v>7.3099844405953678E-3</c:v>
                </c:pt>
                <c:pt idx="8">
                  <c:v>7.2806270733640609E-3</c:v>
                </c:pt>
                <c:pt idx="9">
                  <c:v>7.2512697061327541E-3</c:v>
                </c:pt>
                <c:pt idx="10">
                  <c:v>7.2512697061327541E-3</c:v>
                </c:pt>
                <c:pt idx="11">
                  <c:v>7.2219123389014473E-3</c:v>
                </c:pt>
                <c:pt idx="12">
                  <c:v>7.1925549716701405E-3</c:v>
                </c:pt>
                <c:pt idx="13">
                  <c:v>7.1925549716701405E-3</c:v>
                </c:pt>
                <c:pt idx="14">
                  <c:v>7.1925549716701405E-3</c:v>
                </c:pt>
                <c:pt idx="15">
                  <c:v>7.1925549716701405E-3</c:v>
                </c:pt>
                <c:pt idx="16">
                  <c:v>7.1631976044388337E-3</c:v>
                </c:pt>
                <c:pt idx="17">
                  <c:v>7.1338402372075269E-3</c:v>
                </c:pt>
                <c:pt idx="18">
                  <c:v>7.1044828699762209E-3</c:v>
                </c:pt>
                <c:pt idx="19">
                  <c:v>7.0751255027449141E-3</c:v>
                </c:pt>
                <c:pt idx="20">
                  <c:v>7.0457681355136073E-3</c:v>
                </c:pt>
                <c:pt idx="21">
                  <c:v>7.0457681355136073E-3</c:v>
                </c:pt>
                <c:pt idx="22">
                  <c:v>7.0457681355136073E-3</c:v>
                </c:pt>
                <c:pt idx="23">
                  <c:v>7.0457681355136073E-3</c:v>
                </c:pt>
                <c:pt idx="24">
                  <c:v>7.0457681355136073E-3</c:v>
                </c:pt>
                <c:pt idx="25">
                  <c:v>7.0457681355136073E-3</c:v>
                </c:pt>
                <c:pt idx="26">
                  <c:v>7.0457681355136073E-3</c:v>
                </c:pt>
                <c:pt idx="27">
                  <c:v>7.0457681355136073E-3</c:v>
                </c:pt>
                <c:pt idx="28">
                  <c:v>7.0457681355136073E-3</c:v>
                </c:pt>
                <c:pt idx="29">
                  <c:v>7.0457681355136073E-3</c:v>
                </c:pt>
                <c:pt idx="30">
                  <c:v>7.0164107682823005E-3</c:v>
                </c:pt>
                <c:pt idx="31">
                  <c:v>7.0164107682823005E-3</c:v>
                </c:pt>
                <c:pt idx="32">
                  <c:v>6.9870534010509936E-3</c:v>
                </c:pt>
                <c:pt idx="33">
                  <c:v>6.9870534010509936E-3</c:v>
                </c:pt>
                <c:pt idx="34">
                  <c:v>6.9870534010509936E-3</c:v>
                </c:pt>
                <c:pt idx="35">
                  <c:v>6.9576960338196868E-3</c:v>
                </c:pt>
                <c:pt idx="36">
                  <c:v>6.9576960338196868E-3</c:v>
                </c:pt>
                <c:pt idx="37">
                  <c:v>6.92833866658838E-3</c:v>
                </c:pt>
                <c:pt idx="38">
                  <c:v>6.92833866658838E-3</c:v>
                </c:pt>
                <c:pt idx="39">
                  <c:v>6.8989812993570741E-3</c:v>
                </c:pt>
                <c:pt idx="40">
                  <c:v>6.8989812993570741E-3</c:v>
                </c:pt>
                <c:pt idx="41">
                  <c:v>6.8696239321257672E-3</c:v>
                </c:pt>
                <c:pt idx="42">
                  <c:v>6.8696239321257672E-3</c:v>
                </c:pt>
                <c:pt idx="43">
                  <c:v>6.8402665648944604E-3</c:v>
                </c:pt>
                <c:pt idx="44">
                  <c:v>6.8109091976631536E-3</c:v>
                </c:pt>
                <c:pt idx="45">
                  <c:v>6.8109091976631536E-3</c:v>
                </c:pt>
                <c:pt idx="46">
                  <c:v>6.7815518304318468E-3</c:v>
                </c:pt>
                <c:pt idx="47">
                  <c:v>6.7815518304318468E-3</c:v>
                </c:pt>
                <c:pt idx="48">
                  <c:v>6.75219446320054E-3</c:v>
                </c:pt>
                <c:pt idx="49">
                  <c:v>6.75219446320054E-3</c:v>
                </c:pt>
                <c:pt idx="50">
                  <c:v>6.7228370959692332E-3</c:v>
                </c:pt>
                <c:pt idx="51">
                  <c:v>6.7228370959692332E-3</c:v>
                </c:pt>
                <c:pt idx="52">
                  <c:v>6.7228370959692332E-3</c:v>
                </c:pt>
                <c:pt idx="53">
                  <c:v>6.6934797287379272E-3</c:v>
                </c:pt>
                <c:pt idx="54">
                  <c:v>6.6934797287379272E-3</c:v>
                </c:pt>
                <c:pt idx="55">
                  <c:v>6.6641223615066204E-3</c:v>
                </c:pt>
                <c:pt idx="56">
                  <c:v>6.6641223615066204E-3</c:v>
                </c:pt>
                <c:pt idx="57">
                  <c:v>6.6347649942753136E-3</c:v>
                </c:pt>
                <c:pt idx="58">
                  <c:v>6.6347649942753136E-3</c:v>
                </c:pt>
                <c:pt idx="59">
                  <c:v>6.6347649942753136E-3</c:v>
                </c:pt>
                <c:pt idx="60">
                  <c:v>6.6054076270440068E-3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A-49D9-B204-039A14B7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62512"/>
        <c:axId val="179478712"/>
      </c:barChart>
      <c:lineChart>
        <c:grouping val="standard"/>
        <c:varyColors val="0"/>
        <c:ser>
          <c:idx val="2"/>
          <c:order val="2"/>
          <c:tx>
            <c:strRef>
              <c:f>PARETO!$E$1</c:f>
              <c:strCache>
                <c:ptCount val="1"/>
                <c:pt idx="0">
                  <c:v>Cumules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PARETO!$A$2:$A$62</c:f>
              <c:strCache>
                <c:ptCount val="61"/>
                <c:pt idx="0">
                  <c:v>Coupe Alpha</c:v>
                </c:pt>
                <c:pt idx="1">
                  <c:v>Coupe Zeta</c:v>
                </c:pt>
                <c:pt idx="2">
                  <c:v>Coupe Gamma </c:v>
                </c:pt>
                <c:pt idx="3">
                  <c:v>BOY 1</c:v>
                </c:pt>
                <c:pt idx="4">
                  <c:v>BOY 2</c:v>
                </c:pt>
                <c:pt idx="5">
                  <c:v>BOY 3</c:v>
                </c:pt>
                <c:pt idx="6">
                  <c:v>BOY 4</c:v>
                </c:pt>
                <c:pt idx="7">
                  <c:v>SENSORS HR Gpress StripCrimp</c:v>
                </c:pt>
                <c:pt idx="8">
                  <c:v>SENSORS HR Aspirateur 2</c:v>
                </c:pt>
                <c:pt idx="9">
                  <c:v>SENSORS HR Bain d'Etamage 2</c:v>
                </c:pt>
                <c:pt idx="10">
                  <c:v>SENSORS LR Test</c:v>
                </c:pt>
                <c:pt idx="11">
                  <c:v>SENSORS HR Fer à Souder  2</c:v>
                </c:pt>
                <c:pt idx="12">
                  <c:v>Coupe Power Strip 1 </c:v>
                </c:pt>
                <c:pt idx="13">
                  <c:v>SENSORS HR Aspirateur 1</c:v>
                </c:pt>
                <c:pt idx="14">
                  <c:v>Plastifieuse 1</c:v>
                </c:pt>
                <c:pt idx="15">
                  <c:v>Plastifieuse 2</c:v>
                </c:pt>
                <c:pt idx="16">
                  <c:v>SENSORS HR Bain d'Etamage 1</c:v>
                </c:pt>
                <c:pt idx="17">
                  <c:v>SENSORS HR Fer à souder 1</c:v>
                </c:pt>
                <c:pt idx="18">
                  <c:v>SENSORS HR Dénudeuse 4 fils</c:v>
                </c:pt>
                <c:pt idx="19">
                  <c:v>SENSORS HR Dénudeuse Mira 230</c:v>
                </c:pt>
                <c:pt idx="20">
                  <c:v>Coupe Power Strip 2</c:v>
                </c:pt>
                <c:pt idx="21">
                  <c:v>SIEMENS 3 Test </c:v>
                </c:pt>
                <c:pt idx="22">
                  <c:v>Controle Final 3 Test</c:v>
                </c:pt>
                <c:pt idx="23">
                  <c:v>Controle Final 4 Test</c:v>
                </c:pt>
                <c:pt idx="24">
                  <c:v>Controle Final 5 Test</c:v>
                </c:pt>
                <c:pt idx="25">
                  <c:v>Plasma </c:v>
                </c:pt>
                <c:pt idx="26">
                  <c:v>Optimel</c:v>
                </c:pt>
                <c:pt idx="27">
                  <c:v>Gpress Ring (Zone Injection)</c:v>
                </c:pt>
                <c:pt idx="28">
                  <c:v>Alpha Jet Noir </c:v>
                </c:pt>
                <c:pt idx="29">
                  <c:v>Alpha Jet Blanc</c:v>
                </c:pt>
                <c:pt idx="30">
                  <c:v>SENSORS HR CIRRIS Connector</c:v>
                </c:pt>
                <c:pt idx="31">
                  <c:v>Controle Final 2 Test</c:v>
                </c:pt>
                <c:pt idx="32">
                  <c:v>SIEMENS 2 Test </c:v>
                </c:pt>
                <c:pt idx="33">
                  <c:v>SENSORS HR Connector assembly </c:v>
                </c:pt>
                <c:pt idx="34">
                  <c:v>Controle Final 1 Test</c:v>
                </c:pt>
                <c:pt idx="35">
                  <c:v>SCUBA Machine Fonda </c:v>
                </c:pt>
                <c:pt idx="36">
                  <c:v>Controle Final 5 Cirris </c:v>
                </c:pt>
                <c:pt idx="37">
                  <c:v>SIEMENS 1 Test </c:v>
                </c:pt>
                <c:pt idx="38">
                  <c:v>Controle Final 4 Cirris </c:v>
                </c:pt>
                <c:pt idx="39">
                  <c:v>SCUBA CIRRIS </c:v>
                </c:pt>
                <c:pt idx="40">
                  <c:v>Controle Final 3 Cirris </c:v>
                </c:pt>
                <c:pt idx="41">
                  <c:v>OJE Test</c:v>
                </c:pt>
                <c:pt idx="42">
                  <c:v>Controle Final 2 Cirris </c:v>
                </c:pt>
                <c:pt idx="43">
                  <c:v>Controle Final 1 Cirris </c:v>
                </c:pt>
                <c:pt idx="44">
                  <c:v>SCUBA Fer à Souder  2</c:v>
                </c:pt>
                <c:pt idx="45">
                  <c:v>SENSORS HR Test</c:v>
                </c:pt>
                <c:pt idx="46">
                  <c:v>SCUBA Fer à souder 1</c:v>
                </c:pt>
                <c:pt idx="47">
                  <c:v>SENSORS LR CIRRIS </c:v>
                </c:pt>
                <c:pt idx="48">
                  <c:v>SCUBA Gpress Stripcrimp </c:v>
                </c:pt>
                <c:pt idx="49">
                  <c:v>SENSORS LR Gpress Tyco (Ferite)</c:v>
                </c:pt>
                <c:pt idx="50">
                  <c:v>JABIL HANEYWELL Test</c:v>
                </c:pt>
                <c:pt idx="51">
                  <c:v>SCUBA Gpress TYCO</c:v>
                </c:pt>
                <c:pt idx="52">
                  <c:v>SENSORS LR Gpress TE </c:v>
                </c:pt>
                <c:pt idx="53">
                  <c:v>SCUBA Denudeuse 2500</c:v>
                </c:pt>
                <c:pt idx="54">
                  <c:v>SENSORS LR Bain Aspirateur 12</c:v>
                </c:pt>
                <c:pt idx="55">
                  <c:v>SCUBA Assembly Connector</c:v>
                </c:pt>
                <c:pt idx="56">
                  <c:v>SENSORS LR Fer Bain d'Etamage 2</c:v>
                </c:pt>
                <c:pt idx="57">
                  <c:v>COAX Test </c:v>
                </c:pt>
                <c:pt idx="58">
                  <c:v>SIEMENS 3 CIRRIS</c:v>
                </c:pt>
                <c:pt idx="59">
                  <c:v>SENSORS LR Fer à souder 2</c:v>
                </c:pt>
                <c:pt idx="60">
                  <c:v>Ultrasonic 2</c:v>
                </c:pt>
              </c:strCache>
            </c:strRef>
          </c:cat>
          <c:val>
            <c:numRef>
              <c:f>PARETO!$E$2:$E$62</c:f>
              <c:numCache>
                <c:formatCode>0%</c:formatCode>
                <c:ptCount val="61"/>
                <c:pt idx="0">
                  <c:v>7.9264891524528074E-3</c:v>
                </c:pt>
                <c:pt idx="1">
                  <c:v>1.5706191468749083E-2</c:v>
                </c:pt>
                <c:pt idx="2">
                  <c:v>2.3485893785045356E-2</c:v>
                </c:pt>
                <c:pt idx="3">
                  <c:v>3.1118809265185097E-2</c:v>
                </c:pt>
                <c:pt idx="4">
                  <c:v>3.8751724745324838E-2</c:v>
                </c:pt>
                <c:pt idx="5">
                  <c:v>4.6384640225464582E-2</c:v>
                </c:pt>
                <c:pt idx="6">
                  <c:v>5.401755570560432E-2</c:v>
                </c:pt>
                <c:pt idx="7">
                  <c:v>6.1327540146199691E-2</c:v>
                </c:pt>
                <c:pt idx="8">
                  <c:v>6.8608167219563754E-2</c:v>
                </c:pt>
                <c:pt idx="9">
                  <c:v>7.5859436925696508E-2</c:v>
                </c:pt>
                <c:pt idx="10">
                  <c:v>8.3110706631829262E-2</c:v>
                </c:pt>
                <c:pt idx="11">
                  <c:v>9.0332618970730708E-2</c:v>
                </c:pt>
                <c:pt idx="12">
                  <c:v>9.7525173942400845E-2</c:v>
                </c:pt>
                <c:pt idx="13">
                  <c:v>0.10471772891407098</c:v>
                </c:pt>
                <c:pt idx="14">
                  <c:v>0.11191028388574112</c:v>
                </c:pt>
                <c:pt idx="15">
                  <c:v>0.11910283885741126</c:v>
                </c:pt>
                <c:pt idx="16">
                  <c:v>0.12626603646185008</c:v>
                </c:pt>
                <c:pt idx="17">
                  <c:v>0.13339987669905762</c:v>
                </c:pt>
                <c:pt idx="18">
                  <c:v>0.14050435956903384</c:v>
                </c:pt>
                <c:pt idx="19">
                  <c:v>0.14757948507177876</c:v>
                </c:pt>
                <c:pt idx="20">
                  <c:v>0.15462525320729237</c:v>
                </c:pt>
                <c:pt idx="21">
                  <c:v>0.16167102134280598</c:v>
                </c:pt>
                <c:pt idx="22">
                  <c:v>0.16871678947831958</c:v>
                </c:pt>
                <c:pt idx="23">
                  <c:v>0.17576255761383319</c:v>
                </c:pt>
                <c:pt idx="24">
                  <c:v>0.1828083257493468</c:v>
                </c:pt>
                <c:pt idx="25">
                  <c:v>0.18985409388486041</c:v>
                </c:pt>
                <c:pt idx="26">
                  <c:v>0.19689986202037402</c:v>
                </c:pt>
                <c:pt idx="27">
                  <c:v>0.20394563015588763</c:v>
                </c:pt>
                <c:pt idx="28">
                  <c:v>0.21099139829140123</c:v>
                </c:pt>
                <c:pt idx="29">
                  <c:v>0.21803716642691484</c:v>
                </c:pt>
                <c:pt idx="30">
                  <c:v>0.22505357719519714</c:v>
                </c:pt>
                <c:pt idx="31">
                  <c:v>0.23206998796347944</c:v>
                </c:pt>
                <c:pt idx="32">
                  <c:v>0.23905704136453043</c:v>
                </c:pt>
                <c:pt idx="33">
                  <c:v>0.24604409476558142</c:v>
                </c:pt>
                <c:pt idx="34">
                  <c:v>0.25303114816663241</c:v>
                </c:pt>
                <c:pt idx="35">
                  <c:v>0.2599888442004521</c:v>
                </c:pt>
                <c:pt idx="36">
                  <c:v>0.26694654023427178</c:v>
                </c:pt>
                <c:pt idx="37">
                  <c:v>0.27387487890086015</c:v>
                </c:pt>
                <c:pt idx="38">
                  <c:v>0.28080321756744853</c:v>
                </c:pt>
                <c:pt idx="39">
                  <c:v>0.28770219886680559</c:v>
                </c:pt>
                <c:pt idx="40">
                  <c:v>0.29460118016616266</c:v>
                </c:pt>
                <c:pt idx="41">
                  <c:v>0.30147080409828841</c:v>
                </c:pt>
                <c:pt idx="42">
                  <c:v>0.30834042803041417</c:v>
                </c:pt>
                <c:pt idx="43">
                  <c:v>0.31518069459530862</c:v>
                </c:pt>
                <c:pt idx="44">
                  <c:v>0.32199160379297176</c:v>
                </c:pt>
                <c:pt idx="45">
                  <c:v>0.3288025129906349</c:v>
                </c:pt>
                <c:pt idx="46">
                  <c:v>0.33558406482106673</c:v>
                </c:pt>
                <c:pt idx="47">
                  <c:v>0.34236561665149856</c:v>
                </c:pt>
                <c:pt idx="48">
                  <c:v>0.34911781111469908</c:v>
                </c:pt>
                <c:pt idx="49">
                  <c:v>0.35587000557789961</c:v>
                </c:pt>
                <c:pt idx="50">
                  <c:v>0.36259284267386882</c:v>
                </c:pt>
                <c:pt idx="51">
                  <c:v>0.36931567976983803</c:v>
                </c:pt>
                <c:pt idx="52">
                  <c:v>0.37603851686580725</c:v>
                </c:pt>
                <c:pt idx="53">
                  <c:v>0.38273199659454515</c:v>
                </c:pt>
                <c:pt idx="54">
                  <c:v>0.38942547632328306</c:v>
                </c:pt>
                <c:pt idx="55">
                  <c:v>0.39608959868478966</c:v>
                </c:pt>
                <c:pt idx="56">
                  <c:v>0.40275372104629625</c:v>
                </c:pt>
                <c:pt idx="57">
                  <c:v>0.40938848604057154</c:v>
                </c:pt>
                <c:pt idx="58">
                  <c:v>0.41602325103484683</c:v>
                </c:pt>
                <c:pt idx="59">
                  <c:v>0.42265801602912212</c:v>
                </c:pt>
                <c:pt idx="60">
                  <c:v>0.4292634236561661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2A-49D9-B204-039A14B7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81456"/>
        <c:axId val="179479104"/>
      </c:lineChart>
      <c:catAx>
        <c:axId val="1794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78712"/>
        <c:crosses val="autoZero"/>
        <c:auto val="1"/>
        <c:lblAlgn val="ctr"/>
        <c:lblOffset val="100"/>
        <c:noMultiLvlLbl val="0"/>
      </c:catAx>
      <c:valAx>
        <c:axId val="17947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62512"/>
        <c:crosses val="autoZero"/>
        <c:crossBetween val="between"/>
      </c:valAx>
      <c:valAx>
        <c:axId val="17947910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81456"/>
        <c:crosses val="max"/>
        <c:crossBetween val="between"/>
      </c:valAx>
      <c:catAx>
        <c:axId val="179481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479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3</xdr:row>
      <xdr:rowOff>103001</xdr:rowOff>
    </xdr:from>
    <xdr:to>
      <xdr:col>23</xdr:col>
      <xdr:colOff>333001</xdr:colOff>
      <xdr:row>35</xdr:row>
      <xdr:rowOff>87220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471348</xdr:colOff>
      <xdr:row>5</xdr:row>
      <xdr:rowOff>126066</xdr:rowOff>
    </xdr:from>
    <xdr:to>
      <xdr:col>9</xdr:col>
      <xdr:colOff>479425</xdr:colOff>
      <xdr:row>30</xdr:row>
      <xdr:rowOff>135499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9253958" y="1036544"/>
          <a:ext cx="8077" cy="4603845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324599</xdr:colOff>
      <xdr:row>1</xdr:row>
      <xdr:rowOff>119763</xdr:rowOff>
    </xdr:from>
    <xdr:to>
      <xdr:col>9</xdr:col>
      <xdr:colOff>171265</xdr:colOff>
      <xdr:row>3</xdr:row>
      <xdr:rowOff>14007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462871" y="301859"/>
          <a:ext cx="491004" cy="258435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AA</a:t>
          </a:r>
        </a:p>
      </xdr:txBody>
    </xdr:sp>
    <xdr:clientData/>
  </xdr:twoCellAnchor>
  <xdr:twoCellAnchor>
    <xdr:from>
      <xdr:col>21</xdr:col>
      <xdr:colOff>447518</xdr:colOff>
      <xdr:row>5</xdr:row>
      <xdr:rowOff>112059</xdr:rowOff>
    </xdr:from>
    <xdr:to>
      <xdr:col>21</xdr:col>
      <xdr:colOff>451410</xdr:colOff>
      <xdr:row>30</xdr:row>
      <xdr:rowOff>151674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6962187" y="1022537"/>
          <a:ext cx="3892" cy="4634027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271407</xdr:colOff>
      <xdr:row>5</xdr:row>
      <xdr:rowOff>217814</xdr:rowOff>
    </xdr:from>
    <xdr:to>
      <xdr:col>15</xdr:col>
      <xdr:colOff>119008</xdr:colOff>
      <xdr:row>7</xdr:row>
      <xdr:rowOff>85137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0664863" y="1198329"/>
          <a:ext cx="463924" cy="287543"/>
        </a:xfrm>
        <a:prstGeom prst="rect">
          <a:avLst/>
        </a:prstGeom>
        <a:solidFill>
          <a:srgbClr val="FFC000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</a:t>
          </a:r>
        </a:p>
      </xdr:txBody>
    </xdr:sp>
    <xdr:clientData/>
  </xdr:twoCellAnchor>
  <xdr:twoCellAnchor>
    <xdr:from>
      <xdr:col>21</xdr:col>
      <xdr:colOff>607686</xdr:colOff>
      <xdr:row>6</xdr:row>
      <xdr:rowOff>11748</xdr:rowOff>
    </xdr:from>
    <xdr:to>
      <xdr:col>22</xdr:col>
      <xdr:colOff>449356</xdr:colOff>
      <xdr:row>7</xdr:row>
      <xdr:rowOff>146527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7122355" y="1146344"/>
          <a:ext cx="486008" cy="316874"/>
        </a:xfrm>
        <a:prstGeom prst="rect">
          <a:avLst/>
        </a:prstGeom>
        <a:solidFill>
          <a:srgbClr val="FFFF00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B</a:t>
          </a:r>
        </a:p>
      </xdr:txBody>
    </xdr:sp>
    <xdr:clientData/>
  </xdr:twoCellAnchor>
  <xdr:twoCellAnchor>
    <xdr:from>
      <xdr:col>8</xdr:col>
      <xdr:colOff>450306</xdr:colOff>
      <xdr:row>3</xdr:row>
      <xdr:rowOff>98051</xdr:rowOff>
    </xdr:from>
    <xdr:to>
      <xdr:col>8</xdr:col>
      <xdr:colOff>644337</xdr:colOff>
      <xdr:row>7</xdr:row>
      <xdr:rowOff>77135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588578" y="644338"/>
          <a:ext cx="194031" cy="749488"/>
        </a:xfrm>
        <a:prstGeom prst="downArrow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users/F66676C/AppData/Local/Microsoft/Windows/INetCache/Content.Outlook/XWYNC1YB/Classificazione%20Macchine%20PQCDSM%20-%20Protected.xlsx?E290CAF6" TargetMode="External"/><Relationship Id="rId1" Type="http://schemas.openxmlformats.org/officeDocument/2006/relationships/externalLinkPath" Target="file:///\\E290CAF6\Classificazione%20Macchine%20PQCDSM%20-%20Protec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med%20el%20bhiry\Desktop\New%20folder%20(2)\Classificazione%20Macchine%20PQCDSM%20-%20Protec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84145c\AppData\Local\Microsoft\Windows\INetCache\Content.Outlook\LSJGEDD2\Copy%20of%20PM%20machine%20classification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CDSM"/>
      <sheetName val="Grafico Pareto"/>
      <sheetName val="back office"/>
    </sheetNames>
    <sheetDataSet>
      <sheetData sheetId="0" refreshError="1"/>
      <sheetData sheetId="1" refreshError="1"/>
      <sheetData sheetId="2" refreshError="1">
        <row r="4">
          <cell r="A4" t="str">
            <v>3 shift</v>
          </cell>
          <cell r="B4">
            <v>25</v>
          </cell>
          <cell r="C4" t="str">
            <v>none</v>
          </cell>
          <cell r="D4">
            <v>15</v>
          </cell>
          <cell r="E4" t="str">
            <v>&lt;75%</v>
          </cell>
          <cell r="F4">
            <v>35</v>
          </cell>
          <cell r="G4" t="str">
            <v>plant stops</v>
          </cell>
          <cell r="H4">
            <v>25</v>
          </cell>
          <cell r="I4" t="str">
            <v>yes</v>
          </cell>
          <cell r="J4">
            <v>10</v>
          </cell>
          <cell r="K4" t="str">
            <v>&lt;6 days</v>
          </cell>
          <cell r="L4">
            <v>35</v>
          </cell>
        </row>
        <row r="5">
          <cell r="A5" t="str">
            <v>2 shift</v>
          </cell>
          <cell r="B5">
            <v>15</v>
          </cell>
          <cell r="C5" t="str">
            <v>partial</v>
          </cell>
          <cell r="D5">
            <v>10</v>
          </cell>
          <cell r="E5" t="str">
            <v>76%-85%</v>
          </cell>
          <cell r="F5">
            <v>15</v>
          </cell>
          <cell r="G5" t="str">
            <v>loss of production</v>
          </cell>
          <cell r="H5">
            <v>15</v>
          </cell>
          <cell r="I5" t="str">
            <v>no</v>
          </cell>
          <cell r="J5">
            <v>0</v>
          </cell>
          <cell r="K5" t="str">
            <v>6-15 days</v>
          </cell>
          <cell r="L5">
            <v>20</v>
          </cell>
        </row>
        <row r="6">
          <cell r="A6" t="str">
            <v>1 shift or occasionally</v>
          </cell>
          <cell r="B6">
            <v>5</v>
          </cell>
          <cell r="C6" t="str">
            <v>yes</v>
          </cell>
          <cell r="D6">
            <v>0</v>
          </cell>
          <cell r="E6" t="str">
            <v>&gt;86%</v>
          </cell>
          <cell r="F6">
            <v>0</v>
          </cell>
          <cell r="G6" t="str">
            <v>no</v>
          </cell>
          <cell r="H6">
            <v>0</v>
          </cell>
          <cell r="K6" t="str">
            <v>15-30 days</v>
          </cell>
          <cell r="L6">
            <v>10</v>
          </cell>
        </row>
        <row r="11">
          <cell r="A11" t="str">
            <v>customer</v>
          </cell>
          <cell r="B11">
            <v>50</v>
          </cell>
          <cell r="C11" t="str">
            <v>end of line</v>
          </cell>
          <cell r="D11">
            <v>25</v>
          </cell>
          <cell r="E11" t="str">
            <v>&gt;250 €/pcs</v>
          </cell>
          <cell r="F11">
            <v>25</v>
          </cell>
        </row>
        <row r="12">
          <cell r="A12" t="str">
            <v>internal</v>
          </cell>
          <cell r="B12">
            <v>35</v>
          </cell>
          <cell r="C12" t="str">
            <v>delibera tratto</v>
          </cell>
          <cell r="D12">
            <v>15</v>
          </cell>
          <cell r="E12" t="str">
            <v>100-249 €/pcs</v>
          </cell>
          <cell r="F12">
            <v>15</v>
          </cell>
        </row>
        <row r="13">
          <cell r="A13" t="str">
            <v>no</v>
          </cell>
          <cell r="B13">
            <v>0</v>
          </cell>
          <cell r="C13" t="str">
            <v>in the line</v>
          </cell>
          <cell r="D13">
            <v>0</v>
          </cell>
          <cell r="E13" t="str">
            <v>&lt;99 €/pcs</v>
          </cell>
          <cell r="F13">
            <v>5</v>
          </cell>
        </row>
        <row r="17">
          <cell r="A17" t="str">
            <v>&gt;1000€/month</v>
          </cell>
          <cell r="B17">
            <v>20</v>
          </cell>
          <cell r="C17" t="str">
            <v>&gt;1000€/month</v>
          </cell>
          <cell r="D17">
            <v>20</v>
          </cell>
          <cell r="E17" t="str">
            <v>few BD/huge cost</v>
          </cell>
          <cell r="F17">
            <v>40</v>
          </cell>
          <cell r="G17" t="str">
            <v>high</v>
          </cell>
          <cell r="H17">
            <v>10</v>
          </cell>
        </row>
        <row r="18">
          <cell r="A18" t="str">
            <v>501-999 €/month</v>
          </cell>
          <cell r="B18">
            <v>15</v>
          </cell>
          <cell r="C18" t="str">
            <v>501-999 €/month</v>
          </cell>
          <cell r="D18">
            <v>15</v>
          </cell>
          <cell r="E18" t="str">
            <v>frequent BD/ low cost</v>
          </cell>
          <cell r="F18">
            <v>20</v>
          </cell>
          <cell r="G18" t="str">
            <v>med</v>
          </cell>
          <cell r="H18">
            <v>5</v>
          </cell>
        </row>
        <row r="19">
          <cell r="A19" t="str">
            <v>&lt;500 €/month</v>
          </cell>
          <cell r="B19">
            <v>5</v>
          </cell>
          <cell r="C19" t="str">
            <v>&lt;500 €/month</v>
          </cell>
          <cell r="D19">
            <v>5</v>
          </cell>
          <cell r="E19" t="str">
            <v>no impact</v>
          </cell>
          <cell r="F19">
            <v>0</v>
          </cell>
          <cell r="G19" t="str">
            <v>low</v>
          </cell>
          <cell r="H19">
            <v>0</v>
          </cell>
        </row>
        <row r="23">
          <cell r="A23" t="str">
            <v>tight flow</v>
          </cell>
          <cell r="B23">
            <v>30</v>
          </cell>
        </row>
        <row r="24">
          <cell r="A24" t="str">
            <v>&lt;10 pcs</v>
          </cell>
          <cell r="B24">
            <v>15</v>
          </cell>
        </row>
        <row r="25">
          <cell r="A25" t="str">
            <v>&gt;11 pcs</v>
          </cell>
          <cell r="B25">
            <v>0</v>
          </cell>
        </row>
        <row r="36">
          <cell r="A36" t="str">
            <v>&gt;3</v>
          </cell>
          <cell r="B36">
            <v>0</v>
          </cell>
        </row>
        <row r="37">
          <cell r="A37">
            <v>2.2999999999999998</v>
          </cell>
          <cell r="B37">
            <v>10</v>
          </cell>
        </row>
        <row r="38">
          <cell r="A38" t="str">
            <v>&lt;2</v>
          </cell>
          <cell r="B38">
            <v>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offic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CDSM"/>
      <sheetName val="Grafico Pareto"/>
      <sheetName val="back office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O172"/>
  <sheetViews>
    <sheetView zoomScale="85" zoomScaleNormal="85" workbookViewId="0">
      <pane xSplit="1" ySplit="9" topLeftCell="B10" activePane="bottomRight" state="frozen"/>
      <selection pane="bottomRight" activeCell="B11" sqref="B11"/>
      <selection pane="bottomLeft" activeCell="A10" sqref="A10"/>
      <selection pane="topRight" activeCell="C1" sqref="C1"/>
    </sheetView>
  </sheetViews>
  <sheetFormatPr defaultColWidth="9.140625" defaultRowHeight="14.45"/>
  <cols>
    <col min="1" max="1" width="37" bestFit="1" customWidth="1"/>
    <col min="2" max="2" width="9.85546875" customWidth="1"/>
    <col min="3" max="3" width="11.42578125" bestFit="1" customWidth="1"/>
    <col min="4" max="4" width="7.42578125" bestFit="1" customWidth="1"/>
    <col min="5" max="5" width="9.5703125" bestFit="1" customWidth="1"/>
    <col min="6" max="6" width="17.85546875" customWidth="1"/>
    <col min="7" max="7" width="12" bestFit="1" customWidth="1"/>
    <col min="8" max="8" width="15.5703125" bestFit="1" customWidth="1"/>
    <col min="9" max="9" width="11.5703125" bestFit="1" customWidth="1"/>
    <col min="10" max="10" width="10.42578125" customWidth="1"/>
    <col min="11" max="11" width="9.5703125" bestFit="1" customWidth="1"/>
    <col min="12" max="12" width="4.7109375" bestFit="1" customWidth="1"/>
    <col min="13" max="13" width="6.28515625" bestFit="1" customWidth="1"/>
    <col min="14" max="14" width="10.28515625" bestFit="1" customWidth="1"/>
    <col min="15" max="15" width="4.7109375" bestFit="1" customWidth="1"/>
    <col min="16" max="16" width="4.5703125" bestFit="1" customWidth="1"/>
    <col min="17" max="17" width="7.42578125" bestFit="1" customWidth="1"/>
    <col min="18" max="18" width="14.28515625" bestFit="1" customWidth="1"/>
    <col min="19" max="19" width="13.5703125" bestFit="1" customWidth="1"/>
    <col min="20" max="20" width="6.140625" bestFit="1" customWidth="1"/>
    <col min="21" max="21" width="10.7109375" bestFit="1" customWidth="1"/>
    <col min="22" max="22" width="10.28515625" bestFit="1" customWidth="1"/>
    <col min="23" max="23" width="4.85546875" bestFit="1" customWidth="1"/>
    <col min="24" max="24" width="13.140625" customWidth="1"/>
    <col min="25" max="25" width="12.7109375" bestFit="1" customWidth="1"/>
    <col min="26" max="26" width="15.5703125" bestFit="1" customWidth="1"/>
    <col min="27" max="27" width="12.85546875" bestFit="1" customWidth="1"/>
    <col min="28" max="28" width="3.42578125" bestFit="1" customWidth="1"/>
    <col min="29" max="29" width="3.28515625" bestFit="1" customWidth="1"/>
    <col min="30" max="30" width="6.28515625" bestFit="1" customWidth="1"/>
    <col min="31" max="31" width="9.5703125" bestFit="1" customWidth="1"/>
    <col min="32" max="32" width="4.85546875" bestFit="1" customWidth="1"/>
    <col min="33" max="33" width="8.140625" bestFit="1" customWidth="1"/>
    <col min="34" max="34" width="4.7109375" bestFit="1" customWidth="1"/>
    <col min="35" max="35" width="8.28515625" customWidth="1"/>
    <col min="36" max="36" width="6.140625" customWidth="1"/>
    <col min="37" max="37" width="3.42578125" bestFit="1" customWidth="1"/>
    <col min="38" max="38" width="3.7109375" bestFit="1" customWidth="1"/>
    <col min="39" max="39" width="4.42578125" customWidth="1"/>
    <col min="40" max="40" width="9.7109375" hidden="1" customWidth="1"/>
    <col min="41" max="41" width="10.85546875" hidden="1" customWidth="1"/>
  </cols>
  <sheetData>
    <row r="1" spans="1:41" ht="15" customHeight="1">
      <c r="A1" s="1" t="s">
        <v>0</v>
      </c>
      <c r="B1" s="14"/>
      <c r="C1" s="14"/>
      <c r="D1" s="14"/>
      <c r="E1" s="2"/>
      <c r="F1" s="67" t="s">
        <v>1</v>
      </c>
      <c r="G1" s="8">
        <v>0</v>
      </c>
      <c r="H1" s="9" t="s">
        <v>2</v>
      </c>
      <c r="I1" s="2"/>
      <c r="J1" s="3" t="s">
        <v>3</v>
      </c>
      <c r="K1" s="4">
        <f>K6-SUM(K2:K5)</f>
        <v>106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>
      <c r="A2" s="10"/>
      <c r="B2" s="11" t="s">
        <v>4</v>
      </c>
      <c r="C2" s="14"/>
      <c r="D2" s="15"/>
      <c r="E2" s="2"/>
      <c r="F2" s="68"/>
      <c r="G2" s="16">
        <v>50</v>
      </c>
      <c r="H2" s="17" t="s">
        <v>5</v>
      </c>
      <c r="I2" s="2"/>
      <c r="J2" s="12" t="s">
        <v>6</v>
      </c>
      <c r="K2" s="13">
        <f>COUNTIF($B$10:$B$66, H1)</f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18"/>
      <c r="B3" s="11" t="s">
        <v>7</v>
      </c>
      <c r="C3" s="14"/>
      <c r="D3" s="15"/>
      <c r="E3" s="2"/>
      <c r="F3" s="68"/>
      <c r="G3" s="16">
        <v>150</v>
      </c>
      <c r="H3" s="20" t="s">
        <v>8</v>
      </c>
      <c r="I3" s="2"/>
      <c r="J3" s="12" t="s">
        <v>9</v>
      </c>
      <c r="K3" s="19">
        <f>COUNTIF($B$10:$B$66, H2)</f>
        <v>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" thickBot="1">
      <c r="A4" s="21"/>
      <c r="B4" s="11" t="s">
        <v>10</v>
      </c>
      <c r="C4" s="2"/>
      <c r="D4" s="2"/>
      <c r="E4" s="2"/>
      <c r="F4" s="69"/>
      <c r="G4" s="23">
        <v>250</v>
      </c>
      <c r="H4" s="24" t="s">
        <v>11</v>
      </c>
      <c r="I4" s="2"/>
      <c r="J4" s="12" t="s">
        <v>12</v>
      </c>
      <c r="K4" s="22">
        <f>COUNTIF($B$10:$B$66, H3)</f>
        <v>49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" thickBot="1">
      <c r="A5" s="25"/>
      <c r="B5" s="11" t="s">
        <v>13</v>
      </c>
      <c r="C5" s="2"/>
      <c r="D5" s="2"/>
      <c r="E5" s="2"/>
      <c r="F5" s="28"/>
      <c r="G5" s="29"/>
      <c r="H5" s="2"/>
      <c r="I5" s="2"/>
      <c r="J5" s="26" t="s">
        <v>14</v>
      </c>
      <c r="K5" s="27">
        <f>COUNTIF($B$10:$B$66, H4)</f>
        <v>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" thickBot="1">
      <c r="A6" s="2"/>
      <c r="B6" s="2"/>
      <c r="C6" s="2"/>
      <c r="D6" s="2"/>
      <c r="E6" s="2"/>
      <c r="F6" s="5" t="s">
        <v>15</v>
      </c>
      <c r="G6" s="6" t="s">
        <v>16</v>
      </c>
      <c r="H6" s="7" t="s">
        <v>17</v>
      </c>
      <c r="I6" s="2"/>
      <c r="J6" s="30" t="s">
        <v>18</v>
      </c>
      <c r="K6" s="53">
        <f>COUNTA(A10:A172)</f>
        <v>163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/>
      <c r="B7" s="2"/>
      <c r="C7" s="2"/>
      <c r="D7" s="2"/>
      <c r="E7" s="2"/>
      <c r="F7" s="2"/>
      <c r="G7" s="2"/>
      <c r="H7" s="2"/>
      <c r="I7" s="28"/>
      <c r="J7" s="2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J7" s="2"/>
      <c r="AK7" s="2"/>
      <c r="AL7" s="2"/>
      <c r="AM7" s="2"/>
      <c r="AN7" s="2"/>
      <c r="AO7" s="2"/>
    </row>
    <row r="8" spans="1:41" ht="14.25" customHeight="1">
      <c r="A8" s="2"/>
      <c r="B8" s="2"/>
      <c r="C8" s="29"/>
      <c r="D8" s="70" t="s">
        <v>19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 t="s">
        <v>20</v>
      </c>
      <c r="R8" s="70"/>
      <c r="S8" s="70"/>
      <c r="T8" s="70"/>
      <c r="U8" s="70"/>
      <c r="V8" s="70"/>
      <c r="W8" s="70"/>
      <c r="X8" s="70" t="s">
        <v>2</v>
      </c>
      <c r="Y8" s="70"/>
      <c r="Z8" s="70"/>
      <c r="AA8" s="70"/>
      <c r="AB8" s="70"/>
      <c r="AC8" s="70"/>
      <c r="AD8" s="70"/>
      <c r="AE8" s="70"/>
      <c r="AF8" s="70"/>
      <c r="AG8" s="70" t="s">
        <v>21</v>
      </c>
      <c r="AH8" s="70"/>
      <c r="AI8" s="70" t="s">
        <v>22</v>
      </c>
      <c r="AJ8" s="70"/>
      <c r="AK8" s="70"/>
      <c r="AL8" s="70"/>
      <c r="AM8" s="70"/>
      <c r="AN8" s="70" t="s">
        <v>23</v>
      </c>
      <c r="AO8" s="70"/>
    </row>
    <row r="9" spans="1:41" s="52" customFormat="1" ht="26.25" customHeight="1">
      <c r="A9" s="31" t="s">
        <v>24</v>
      </c>
      <c r="B9" s="31" t="s">
        <v>25</v>
      </c>
      <c r="C9" s="31" t="s">
        <v>26</v>
      </c>
      <c r="D9" s="56" t="s">
        <v>27</v>
      </c>
      <c r="E9" s="57" t="s">
        <v>28</v>
      </c>
      <c r="F9" s="56" t="s">
        <v>29</v>
      </c>
      <c r="G9" s="57" t="s">
        <v>30</v>
      </c>
      <c r="H9" s="56" t="s">
        <v>31</v>
      </c>
      <c r="I9" s="57" t="s">
        <v>32</v>
      </c>
      <c r="J9" s="58" t="s">
        <v>27</v>
      </c>
      <c r="K9" s="58" t="s">
        <v>28</v>
      </c>
      <c r="L9" s="58" t="s">
        <v>33</v>
      </c>
      <c r="M9" s="58" t="s">
        <v>30</v>
      </c>
      <c r="N9" s="58" t="s">
        <v>31</v>
      </c>
      <c r="O9" s="58" t="s">
        <v>32</v>
      </c>
      <c r="P9" s="58" t="s">
        <v>34</v>
      </c>
      <c r="Q9" s="59" t="s">
        <v>35</v>
      </c>
      <c r="R9" s="59" t="s">
        <v>36</v>
      </c>
      <c r="S9" s="59" t="s">
        <v>37</v>
      </c>
      <c r="T9" s="58" t="s">
        <v>35</v>
      </c>
      <c r="U9" s="58" t="s">
        <v>36</v>
      </c>
      <c r="V9" s="58" t="s">
        <v>37</v>
      </c>
      <c r="W9" s="58" t="s">
        <v>38</v>
      </c>
      <c r="X9" s="56" t="s">
        <v>39</v>
      </c>
      <c r="Y9" s="60" t="s">
        <v>40</v>
      </c>
      <c r="Z9" s="60" t="s">
        <v>30</v>
      </c>
      <c r="AA9" s="60" t="s">
        <v>41</v>
      </c>
      <c r="AB9" s="58" t="s">
        <v>39</v>
      </c>
      <c r="AC9" s="58" t="s">
        <v>40</v>
      </c>
      <c r="AD9" s="58" t="s">
        <v>30</v>
      </c>
      <c r="AE9" s="58" t="s">
        <v>41</v>
      </c>
      <c r="AF9" s="58" t="s">
        <v>38</v>
      </c>
      <c r="AG9" s="56" t="s">
        <v>42</v>
      </c>
      <c r="AH9" s="58" t="s">
        <v>43</v>
      </c>
      <c r="AI9" s="61" t="s">
        <v>44</v>
      </c>
      <c r="AJ9" s="61" t="s">
        <v>45</v>
      </c>
      <c r="AK9" s="58" t="s">
        <v>44</v>
      </c>
      <c r="AL9" s="58" t="s">
        <v>45</v>
      </c>
      <c r="AM9" s="58" t="s">
        <v>46</v>
      </c>
      <c r="AN9" s="62" t="s">
        <v>47</v>
      </c>
      <c r="AO9" s="58" t="s">
        <v>48</v>
      </c>
    </row>
    <row r="10" spans="1:41" ht="14.45" customHeight="1">
      <c r="A10" s="47" t="s">
        <v>49</v>
      </c>
      <c r="B10" s="50" t="str">
        <f t="shared" ref="B10:B50" si="0">IF(C10="","",IF(C10&gt;=$G$4,"AA",IF(AND(C10&gt;=$G$3,C10&lt;$G$4),"A",IF(AND(C10&gt;=$G$2,C10&lt;$G$3),"B","C"))))</f>
        <v>AA</v>
      </c>
      <c r="C10" s="50">
        <f t="shared" ref="C10:C21" si="1">IF(SUM(P10,W10,AF10,AH10,AM10,AO10)=0,"",SUM(P10,W10,AF10,AH10,AM10,AO10))</f>
        <v>265</v>
      </c>
      <c r="D10" s="49" t="s">
        <v>50</v>
      </c>
      <c r="E10" s="49" t="s">
        <v>51</v>
      </c>
      <c r="F10" s="49" t="s">
        <v>52</v>
      </c>
      <c r="G10" s="49" t="s">
        <v>53</v>
      </c>
      <c r="H10" s="49" t="s">
        <v>54</v>
      </c>
      <c r="I10" s="49" t="s">
        <v>55</v>
      </c>
      <c r="J10" s="50">
        <f>IFERROR(VLOOKUP(D10,'[1]back office'!$A$4:$B$6,2,FALSE),"-")</f>
        <v>25</v>
      </c>
      <c r="K10" s="50">
        <f>IFERROR(VLOOKUP(E10,'[1]back office'!$C$4:$D$6,2,FALSE),"-")</f>
        <v>10</v>
      </c>
      <c r="L10" s="50">
        <f>IFERROR(VLOOKUP(F10,'[1]back office'!$E$4:$F$6,2,FALSE),"-")</f>
        <v>35</v>
      </c>
      <c r="M10" s="50">
        <f>IFERROR(VLOOKUP(G10,'[1]back office'!$G$4:$H$6,2,FALSE),"-")</f>
        <v>15</v>
      </c>
      <c r="N10" s="50">
        <f>IFERROR(VLOOKUP(H10,'[1]back office'!$I$4:$J$6,2,FALSE),"-")</f>
        <v>0</v>
      </c>
      <c r="O10" s="50">
        <f>IFERROR(VLOOKUP(I10,'[1]back office'!$K$4:$L$6,2,FALSE),"-")</f>
        <v>35</v>
      </c>
      <c r="P10" s="51">
        <f>SUM(J10:O10)</f>
        <v>120</v>
      </c>
      <c r="Q10" s="49" t="s">
        <v>56</v>
      </c>
      <c r="R10" s="49" t="s">
        <v>57</v>
      </c>
      <c r="S10" s="49" t="s">
        <v>58</v>
      </c>
      <c r="T10" s="50">
        <f>IFERROR(VLOOKUP(Q10,'[1]back office'!$A$11:$B$13,2,FALSE),"-")</f>
        <v>35</v>
      </c>
      <c r="U10" s="50">
        <f>IFERROR(VLOOKUP(R10,'[1]back office'!$C$11:$D$13,2,FALSE),"-")</f>
        <v>0</v>
      </c>
      <c r="V10" s="50" t="str">
        <f>IFERROR(VLOOKUP(S10,'[1]back office'!$E$11:$F$13,2,FALSE),"-")</f>
        <v>-</v>
      </c>
      <c r="W10" s="51">
        <f>SUM(T10:V10)</f>
        <v>35</v>
      </c>
      <c r="X10" s="49" t="s">
        <v>59</v>
      </c>
      <c r="Y10" s="49" t="s">
        <v>60</v>
      </c>
      <c r="Z10" s="49" t="s">
        <v>61</v>
      </c>
      <c r="AA10" s="49" t="s">
        <v>62</v>
      </c>
      <c r="AB10" s="50" t="str">
        <f>IFERROR(VLOOKUP(X10,'[1]back office'!$A$17:$B$19,2,FALSE),"-")</f>
        <v>-</v>
      </c>
      <c r="AC10" s="50" t="str">
        <f>IFERROR(VLOOKUP(Y10,'[1]back office'!$C$17:$D$19,2,FALSE),"-")</f>
        <v>-</v>
      </c>
      <c r="AD10" s="50">
        <f>IFERROR(VLOOKUP(Z10,'[1]back office'!$E$17:$F$19,2,FALSE),"-")</f>
        <v>40</v>
      </c>
      <c r="AE10" s="50">
        <f>IFERROR(VLOOKUP(AA10,'[1]back office'!$G$17:$H$19,2,FALSE),"-")</f>
        <v>5</v>
      </c>
      <c r="AF10" s="51">
        <f>SUM(AB10:AE10)</f>
        <v>45</v>
      </c>
      <c r="AG10" s="49" t="s">
        <v>63</v>
      </c>
      <c r="AH10" s="51">
        <f>IFERROR(VLOOKUP(AG10,'[1]back office'!$A$23:$B$25,2,FALSE),"-")</f>
        <v>0</v>
      </c>
      <c r="AI10" s="49">
        <v>50</v>
      </c>
      <c r="AJ10" s="49">
        <v>15</v>
      </c>
      <c r="AK10" s="49">
        <f t="shared" ref="AK10:AK15" si="2">AI10</f>
        <v>50</v>
      </c>
      <c r="AL10" s="49">
        <v>15</v>
      </c>
      <c r="AM10" s="51">
        <f>+SUM(AK10:AL10)</f>
        <v>65</v>
      </c>
      <c r="AN10" s="49" t="s">
        <v>64</v>
      </c>
      <c r="AO10" s="51">
        <f>IFERROR(VLOOKUP(AN10,'[1]back office'!$A$36:$B$38,2,FALSE),"-")</f>
        <v>0</v>
      </c>
    </row>
    <row r="11" spans="1:41">
      <c r="A11" s="47" t="s">
        <v>65</v>
      </c>
      <c r="B11" s="50" t="str">
        <f t="shared" si="0"/>
        <v>AA</v>
      </c>
      <c r="C11" s="50">
        <f t="shared" ref="C11" si="3">IF(SUM(P11,W11,AF11,AH11,AM11,AO11)=0,"",SUM(P11,W11,AF11,AH11,AM11,AO11))</f>
        <v>270</v>
      </c>
      <c r="D11" s="49" t="s">
        <v>50</v>
      </c>
      <c r="E11" s="49" t="s">
        <v>51</v>
      </c>
      <c r="F11" s="49" t="s">
        <v>52</v>
      </c>
      <c r="G11" s="49" t="s">
        <v>53</v>
      </c>
      <c r="H11" s="49" t="s">
        <v>54</v>
      </c>
      <c r="I11" s="49" t="s">
        <v>55</v>
      </c>
      <c r="J11" s="50">
        <f>IFERROR(VLOOKUP(D11,'[1]back office'!$A$4:$B$6,2,FALSE),"-")</f>
        <v>25</v>
      </c>
      <c r="K11" s="50">
        <f>IFERROR(VLOOKUP(E11,'[1]back office'!$C$4:$D$6,2,FALSE),"-")</f>
        <v>10</v>
      </c>
      <c r="L11" s="50">
        <f>IFERROR(VLOOKUP(F11,'[1]back office'!$E$4:$F$6,2,FALSE),"-")</f>
        <v>35</v>
      </c>
      <c r="M11" s="50">
        <f>IFERROR(VLOOKUP(G11,'[1]back office'!$G$4:$H$6,2,FALSE),"-")</f>
        <v>15</v>
      </c>
      <c r="N11" s="50">
        <f>IFERROR(VLOOKUP(H11,'[1]back office'!$I$4:$J$6,2,FALSE),"-")</f>
        <v>0</v>
      </c>
      <c r="O11" s="50">
        <f>IFERROR(VLOOKUP(I11,'[1]back office'!$K$4:$L$6,2,FALSE),"-")</f>
        <v>35</v>
      </c>
      <c r="P11" s="51">
        <f t="shared" ref="P11" si="4">SUM(J11:O11)</f>
        <v>120</v>
      </c>
      <c r="Q11" s="49" t="s">
        <v>56</v>
      </c>
      <c r="R11" s="49" t="s">
        <v>57</v>
      </c>
      <c r="S11" s="49" t="s">
        <v>58</v>
      </c>
      <c r="T11" s="50">
        <f>IFERROR(VLOOKUP(Q11,'[1]back office'!$A$11:$B$13,2,FALSE),"-")</f>
        <v>35</v>
      </c>
      <c r="U11" s="50">
        <f>IFERROR(VLOOKUP(R11,'[1]back office'!$C$11:$D$13,2,FALSE),"-")</f>
        <v>0</v>
      </c>
      <c r="V11" s="50" t="str">
        <f>IFERROR(VLOOKUP(S11,'[1]back office'!$E$11:$F$13,2,FALSE),"-")</f>
        <v>-</v>
      </c>
      <c r="W11" s="51">
        <f t="shared" ref="W11" si="5">SUM(T11:V11)</f>
        <v>35</v>
      </c>
      <c r="X11" s="49" t="s">
        <v>59</v>
      </c>
      <c r="Y11" s="49" t="s">
        <v>60</v>
      </c>
      <c r="Z11" s="49" t="s">
        <v>61</v>
      </c>
      <c r="AA11" s="49" t="s">
        <v>66</v>
      </c>
      <c r="AB11" s="50" t="str">
        <f>IFERROR(VLOOKUP(X11,'[1]back office'!$A$17:$B$19,2,FALSE),"-")</f>
        <v>-</v>
      </c>
      <c r="AC11" s="50" t="str">
        <f>IFERROR(VLOOKUP(Y11,'[1]back office'!$C$17:$D$19,2,FALSE),"-")</f>
        <v>-</v>
      </c>
      <c r="AD11" s="50">
        <f>IFERROR(VLOOKUP(Z11,'[1]back office'!$E$17:$F$19,2,FALSE),"-")</f>
        <v>40</v>
      </c>
      <c r="AE11" s="50">
        <f>IFERROR(VLOOKUP(AA11,'[1]back office'!$G$17:$H$19,2,FALSE),"-")</f>
        <v>10</v>
      </c>
      <c r="AF11" s="51">
        <f t="shared" ref="AF11" si="6">SUM(AB11:AE11)</f>
        <v>50</v>
      </c>
      <c r="AG11" s="49" t="s">
        <v>63</v>
      </c>
      <c r="AH11" s="51">
        <f>IFERROR(VLOOKUP(AG11,'[1]back office'!$A$23:$B$25,2,FALSE),"-")</f>
        <v>0</v>
      </c>
      <c r="AI11" s="49">
        <v>50</v>
      </c>
      <c r="AJ11" s="49">
        <v>15</v>
      </c>
      <c r="AK11" s="49">
        <f t="shared" si="2"/>
        <v>50</v>
      </c>
      <c r="AL11" s="49">
        <v>15</v>
      </c>
      <c r="AM11" s="51">
        <f t="shared" ref="AM11" si="7">+SUM(AK11:AL11)</f>
        <v>65</v>
      </c>
      <c r="AN11" s="49" t="s">
        <v>64</v>
      </c>
      <c r="AO11" s="51">
        <f>IFERROR(VLOOKUP(AN11,'[1]back office'!$A$36:$B$38,2,FALSE),"-")</f>
        <v>0</v>
      </c>
    </row>
    <row r="12" spans="1:41">
      <c r="A12" s="47" t="s">
        <v>67</v>
      </c>
      <c r="B12" s="50" t="str">
        <f t="shared" si="0"/>
        <v>AA</v>
      </c>
      <c r="C12" s="50">
        <f t="shared" si="1"/>
        <v>265</v>
      </c>
      <c r="D12" s="49" t="s">
        <v>50</v>
      </c>
      <c r="E12" s="49" t="s">
        <v>51</v>
      </c>
      <c r="F12" s="49" t="s">
        <v>52</v>
      </c>
      <c r="G12" s="49" t="s">
        <v>53</v>
      </c>
      <c r="H12" s="49" t="s">
        <v>54</v>
      </c>
      <c r="I12" s="49" t="s">
        <v>55</v>
      </c>
      <c r="J12" s="50">
        <f>IFERROR(VLOOKUP(D12,'[1]back office'!$A$4:$B$6,2,FALSE),"-")</f>
        <v>25</v>
      </c>
      <c r="K12" s="50">
        <f>IFERROR(VLOOKUP(E12,'[1]back office'!$C$4:$D$6,2,FALSE),"-")</f>
        <v>10</v>
      </c>
      <c r="L12" s="50">
        <f>IFERROR(VLOOKUP(F12,'[1]back office'!$E$4:$F$6,2,FALSE),"-")</f>
        <v>35</v>
      </c>
      <c r="M12" s="50">
        <f>IFERROR(VLOOKUP(G12,'[1]back office'!$G$4:$H$6,2,FALSE),"-")</f>
        <v>15</v>
      </c>
      <c r="N12" s="50">
        <f>IFERROR(VLOOKUP(H12,'[1]back office'!$I$4:$J$6,2,FALSE),"-")</f>
        <v>0</v>
      </c>
      <c r="O12" s="50">
        <f>IFERROR(VLOOKUP(I12,'[1]back office'!$K$4:$L$6,2,FALSE),"-")</f>
        <v>35</v>
      </c>
      <c r="P12" s="51">
        <f t="shared" ref="P12:P20" si="8">SUM(J12:O12)</f>
        <v>120</v>
      </c>
      <c r="Q12" s="49" t="s">
        <v>56</v>
      </c>
      <c r="R12" s="49" t="s">
        <v>57</v>
      </c>
      <c r="S12" s="49" t="s">
        <v>58</v>
      </c>
      <c r="T12" s="50">
        <f>IFERROR(VLOOKUP(Q12,'[1]back office'!$A$11:$B$13,2,FALSE),"-")</f>
        <v>35</v>
      </c>
      <c r="U12" s="50">
        <f>IFERROR(VLOOKUP(R12,'[1]back office'!$C$11:$D$13,2,FALSE),"-")</f>
        <v>0</v>
      </c>
      <c r="V12" s="50" t="str">
        <f>IFERROR(VLOOKUP(S12,'[1]back office'!$E$11:$F$13,2,FALSE),"-")</f>
        <v>-</v>
      </c>
      <c r="W12" s="51">
        <f t="shared" ref="W12:W18" si="9">SUM(T12:V12)</f>
        <v>35</v>
      </c>
      <c r="X12" s="49" t="s">
        <v>59</v>
      </c>
      <c r="Y12" s="49" t="s">
        <v>60</v>
      </c>
      <c r="Z12" s="49" t="s">
        <v>61</v>
      </c>
      <c r="AA12" s="49" t="s">
        <v>62</v>
      </c>
      <c r="AB12" s="50" t="str">
        <f>IFERROR(VLOOKUP(X12,'[1]back office'!$A$17:$B$19,2,FALSE),"-")</f>
        <v>-</v>
      </c>
      <c r="AC12" s="50" t="str">
        <f>IFERROR(VLOOKUP(Y12,'[1]back office'!$C$17:$D$19,2,FALSE),"-")</f>
        <v>-</v>
      </c>
      <c r="AD12" s="50">
        <f>IFERROR(VLOOKUP(Z12,'[1]back office'!$E$17:$F$19,2,FALSE),"-")</f>
        <v>40</v>
      </c>
      <c r="AE12" s="50">
        <f>IFERROR(VLOOKUP(AA12,'[1]back office'!$G$17:$H$19,2,FALSE),"-")</f>
        <v>5</v>
      </c>
      <c r="AF12" s="51">
        <f>SUM(AB12:AE12)</f>
        <v>45</v>
      </c>
      <c r="AG12" s="49" t="s">
        <v>63</v>
      </c>
      <c r="AH12" s="51">
        <f>IFERROR(VLOOKUP(AG12,'[1]back office'!$A$23:$B$25,2,FALSE),"-")</f>
        <v>0</v>
      </c>
      <c r="AI12" s="49">
        <v>50</v>
      </c>
      <c r="AJ12" s="49">
        <v>15</v>
      </c>
      <c r="AK12" s="49">
        <f t="shared" si="2"/>
        <v>50</v>
      </c>
      <c r="AL12" s="49">
        <v>15</v>
      </c>
      <c r="AM12" s="51">
        <f>+SUM(AK12:AL12)</f>
        <v>65</v>
      </c>
      <c r="AN12" s="49" t="s">
        <v>64</v>
      </c>
      <c r="AO12" s="51">
        <f>IFERROR(VLOOKUP(AN12,'[1]back office'!$A$36:$B$38,2,FALSE),"-")</f>
        <v>0</v>
      </c>
    </row>
    <row r="13" spans="1:41">
      <c r="A13" s="47" t="s">
        <v>68</v>
      </c>
      <c r="B13" s="50" t="str">
        <f t="shared" si="0"/>
        <v>A</v>
      </c>
      <c r="C13" s="50">
        <f t="shared" ref="C13:C14" si="10">IF(SUM(P13,W13,AF13,AH13,AM13,AO13)=0,"",SUM(P13,W13,AF13,AH13,AM13,AO13))</f>
        <v>245</v>
      </c>
      <c r="D13" s="49" t="s">
        <v>50</v>
      </c>
      <c r="E13" s="49" t="s">
        <v>51</v>
      </c>
      <c r="F13" s="49" t="s">
        <v>52</v>
      </c>
      <c r="G13" s="49" t="s">
        <v>53</v>
      </c>
      <c r="H13" s="49" t="s">
        <v>54</v>
      </c>
      <c r="I13" s="49" t="s">
        <v>69</v>
      </c>
      <c r="J13" s="50">
        <f>IFERROR(VLOOKUP(D13,'[1]back office'!$A$4:$B$6,2,FALSE),"-")</f>
        <v>25</v>
      </c>
      <c r="K13" s="50">
        <f>IFERROR(VLOOKUP(E13,'[1]back office'!$C$4:$D$6,2,FALSE),"-")</f>
        <v>10</v>
      </c>
      <c r="L13" s="50">
        <f>IFERROR(VLOOKUP(F13,'[1]back office'!$E$4:$F$6,2,FALSE),"-")</f>
        <v>35</v>
      </c>
      <c r="M13" s="50">
        <f>IFERROR(VLOOKUP(G13,'[1]back office'!$G$4:$H$6,2,FALSE),"-")</f>
        <v>15</v>
      </c>
      <c r="N13" s="50">
        <f>IFERROR(VLOOKUP(H13,'[1]back office'!$I$4:$J$6,2,FALSE),"-")</f>
        <v>0</v>
      </c>
      <c r="O13" s="50">
        <f>IFERROR(VLOOKUP(I13,'[1]back office'!$K$4:$L$6,2,FALSE),"-")</f>
        <v>10</v>
      </c>
      <c r="P13" s="51">
        <f t="shared" ref="P13:P14" si="11">SUM(J13:O13)</f>
        <v>95</v>
      </c>
      <c r="Q13" s="49" t="s">
        <v>56</v>
      </c>
      <c r="R13" s="49" t="s">
        <v>57</v>
      </c>
      <c r="S13" s="49" t="s">
        <v>58</v>
      </c>
      <c r="T13" s="50">
        <f>IFERROR(VLOOKUP(Q13,'[1]back office'!$A$11:$B$13,2,FALSE),"-")</f>
        <v>35</v>
      </c>
      <c r="U13" s="50">
        <f>IFERROR(VLOOKUP(R13,'[1]back office'!$C$11:$D$13,2,FALSE),"-")</f>
        <v>0</v>
      </c>
      <c r="V13" s="50" t="str">
        <f>IFERROR(VLOOKUP(S13,'[1]back office'!$E$11:$F$13,2,FALSE),"-")</f>
        <v>-</v>
      </c>
      <c r="W13" s="51">
        <f t="shared" ref="W13:W14" si="12">SUM(T13:V13)</f>
        <v>35</v>
      </c>
      <c r="X13" s="49" t="s">
        <v>70</v>
      </c>
      <c r="Y13" s="49" t="s">
        <v>60</v>
      </c>
      <c r="Z13" s="49" t="s">
        <v>61</v>
      </c>
      <c r="AA13" s="49" t="s">
        <v>66</v>
      </c>
      <c r="AB13" s="50" t="str">
        <f>IFERROR(VLOOKUP(X13,'[1]back office'!$A$17:$B$19,2,FALSE),"-")</f>
        <v>-</v>
      </c>
      <c r="AC13" s="50" t="str">
        <f>IFERROR(VLOOKUP(Y13,'[1]back office'!$C$17:$D$19,2,FALSE),"-")</f>
        <v>-</v>
      </c>
      <c r="AD13" s="50">
        <f>IFERROR(VLOOKUP(Z13,'[1]back office'!$E$17:$F$19,2,FALSE),"-")</f>
        <v>40</v>
      </c>
      <c r="AE13" s="50">
        <f>IFERROR(VLOOKUP(AA13,'[1]back office'!$G$17:$H$19,2,FALSE),"-")</f>
        <v>10</v>
      </c>
      <c r="AF13" s="51">
        <f t="shared" ref="AF13:AF14" si="13">SUM(AB13:AE13)</f>
        <v>50</v>
      </c>
      <c r="AG13" s="49" t="s">
        <v>63</v>
      </c>
      <c r="AH13" s="51">
        <f>IFERROR(VLOOKUP(AG13,'[1]back office'!$A$23:$B$25,2,FALSE),"-")</f>
        <v>0</v>
      </c>
      <c r="AI13" s="49">
        <v>50</v>
      </c>
      <c r="AJ13" s="49">
        <v>15</v>
      </c>
      <c r="AK13" s="49">
        <f t="shared" si="2"/>
        <v>50</v>
      </c>
      <c r="AL13" s="49">
        <v>15</v>
      </c>
      <c r="AM13" s="51">
        <f t="shared" ref="AM13:AM14" si="14">+SUM(AK13:AL13)</f>
        <v>65</v>
      </c>
      <c r="AN13" s="49" t="s">
        <v>64</v>
      </c>
      <c r="AO13" s="51">
        <f>IFERROR(VLOOKUP(AN13,'[1]back office'!$A$36:$B$38,2,FALSE),"-")</f>
        <v>0</v>
      </c>
    </row>
    <row r="14" spans="1:41">
      <c r="A14" s="47" t="s">
        <v>71</v>
      </c>
      <c r="B14" s="50" t="str">
        <f t="shared" si="0"/>
        <v>A</v>
      </c>
      <c r="C14" s="50">
        <f t="shared" si="10"/>
        <v>240</v>
      </c>
      <c r="D14" s="49" t="s">
        <v>50</v>
      </c>
      <c r="E14" s="49" t="s">
        <v>51</v>
      </c>
      <c r="F14" s="49" t="s">
        <v>52</v>
      </c>
      <c r="G14" s="49" t="s">
        <v>53</v>
      </c>
      <c r="H14" s="49" t="s">
        <v>54</v>
      </c>
      <c r="I14" s="49" t="s">
        <v>69</v>
      </c>
      <c r="J14" s="50">
        <f>IFERROR(VLOOKUP(D14,'[1]back office'!$A$4:$B$6,2,FALSE),"-")</f>
        <v>25</v>
      </c>
      <c r="K14" s="50">
        <f>IFERROR(VLOOKUP(E14,'[1]back office'!$C$4:$D$6,2,FALSE),"-")</f>
        <v>10</v>
      </c>
      <c r="L14" s="50">
        <f>IFERROR(VLOOKUP(F14,'[1]back office'!$E$4:$F$6,2,FALSE),"-")</f>
        <v>35</v>
      </c>
      <c r="M14" s="50">
        <f>IFERROR(VLOOKUP(G14,'[1]back office'!$G$4:$H$6,2,FALSE),"-")</f>
        <v>15</v>
      </c>
      <c r="N14" s="50">
        <f>IFERROR(VLOOKUP(H14,'[1]back office'!$I$4:$J$6,2,FALSE),"-")</f>
        <v>0</v>
      </c>
      <c r="O14" s="50">
        <f>IFERROR(VLOOKUP(I14,'[1]back office'!$K$4:$L$6,2,FALSE),"-")</f>
        <v>10</v>
      </c>
      <c r="P14" s="51">
        <f t="shared" si="11"/>
        <v>95</v>
      </c>
      <c r="Q14" s="49" t="s">
        <v>56</v>
      </c>
      <c r="R14" s="49" t="s">
        <v>57</v>
      </c>
      <c r="S14" s="49" t="s">
        <v>58</v>
      </c>
      <c r="T14" s="50">
        <f>IFERROR(VLOOKUP(Q14,'[1]back office'!$A$11:$B$13,2,FALSE),"-")</f>
        <v>35</v>
      </c>
      <c r="U14" s="50">
        <f>IFERROR(VLOOKUP(R14,'[1]back office'!$C$11:$D$13,2,FALSE),"-")</f>
        <v>0</v>
      </c>
      <c r="V14" s="50" t="str">
        <f>IFERROR(VLOOKUP(S14,'[1]back office'!$E$11:$F$13,2,FALSE),"-")</f>
        <v>-</v>
      </c>
      <c r="W14" s="51">
        <f t="shared" si="12"/>
        <v>35</v>
      </c>
      <c r="X14" s="49" t="s">
        <v>70</v>
      </c>
      <c r="Y14" s="49" t="s">
        <v>60</v>
      </c>
      <c r="Z14" s="49" t="s">
        <v>61</v>
      </c>
      <c r="AA14" s="49" t="s">
        <v>62</v>
      </c>
      <c r="AB14" s="50" t="str">
        <f>IFERROR(VLOOKUP(X14,'[1]back office'!$A$17:$B$19,2,FALSE),"-")</f>
        <v>-</v>
      </c>
      <c r="AC14" s="50" t="str">
        <f>IFERROR(VLOOKUP(Y14,'[1]back office'!$C$17:$D$19,2,FALSE),"-")</f>
        <v>-</v>
      </c>
      <c r="AD14" s="50">
        <f>IFERROR(VLOOKUP(Z14,'[1]back office'!$E$17:$F$19,2,FALSE),"-")</f>
        <v>40</v>
      </c>
      <c r="AE14" s="50">
        <f>IFERROR(VLOOKUP(AA14,'[1]back office'!$G$17:$H$19,2,FALSE),"-")</f>
        <v>5</v>
      </c>
      <c r="AF14" s="51">
        <f t="shared" si="13"/>
        <v>45</v>
      </c>
      <c r="AG14" s="49" t="s">
        <v>63</v>
      </c>
      <c r="AH14" s="51">
        <f>IFERROR(VLOOKUP(AG14,'[1]back office'!$A$23:$B$25,2,FALSE),"-")</f>
        <v>0</v>
      </c>
      <c r="AI14" s="49">
        <v>50</v>
      </c>
      <c r="AJ14" s="49">
        <v>15</v>
      </c>
      <c r="AK14" s="49">
        <f t="shared" si="2"/>
        <v>50</v>
      </c>
      <c r="AL14" s="49">
        <v>15</v>
      </c>
      <c r="AM14" s="51">
        <f t="shared" si="14"/>
        <v>65</v>
      </c>
      <c r="AN14" s="49" t="s">
        <v>64</v>
      </c>
      <c r="AO14" s="51">
        <f>IFERROR(VLOOKUP(AN14,'[1]back office'!$A$36:$B$38,2,FALSE),"-")</f>
        <v>0</v>
      </c>
    </row>
    <row r="15" spans="1:41">
      <c r="A15" s="47" t="s">
        <v>72</v>
      </c>
      <c r="B15" s="50" t="str">
        <f t="shared" si="0"/>
        <v>A</v>
      </c>
      <c r="C15" s="50">
        <f t="shared" si="1"/>
        <v>165</v>
      </c>
      <c r="D15" s="49" t="s">
        <v>50</v>
      </c>
      <c r="E15" s="49" t="s">
        <v>73</v>
      </c>
      <c r="F15" s="49" t="s">
        <v>74</v>
      </c>
      <c r="G15" s="49" t="s">
        <v>53</v>
      </c>
      <c r="H15" s="49" t="s">
        <v>54</v>
      </c>
      <c r="I15" s="49" t="s">
        <v>69</v>
      </c>
      <c r="J15" s="50">
        <f>IFERROR(VLOOKUP(D15,'[1]back office'!$A$4:$B$6,2,FALSE),"-")</f>
        <v>25</v>
      </c>
      <c r="K15" s="50">
        <f>IFERROR(VLOOKUP(E15,'[1]back office'!$C$4:$D$6,2,FALSE),"-")</f>
        <v>0</v>
      </c>
      <c r="L15" s="50">
        <f>IFERROR(VLOOKUP(F15,'[1]back office'!$E$4:$F$6,2,FALSE),"-")</f>
        <v>15</v>
      </c>
      <c r="M15" s="50">
        <f>IFERROR(VLOOKUP(G15,'[1]back office'!$G$4:$H$6,2,FALSE),"-")</f>
        <v>15</v>
      </c>
      <c r="N15" s="50">
        <f>IFERROR(VLOOKUP(H15,'[1]back office'!$I$4:$J$6,2,FALSE),"-")</f>
        <v>0</v>
      </c>
      <c r="O15" s="50">
        <f>IFERROR(VLOOKUP(I15,'[1]back office'!$K$4:$L$6,2,FALSE),"-")</f>
        <v>10</v>
      </c>
      <c r="P15" s="51">
        <f t="shared" si="8"/>
        <v>65</v>
      </c>
      <c r="Q15" s="49" t="s">
        <v>56</v>
      </c>
      <c r="R15" s="49" t="s">
        <v>57</v>
      </c>
      <c r="S15" s="49" t="s">
        <v>58</v>
      </c>
      <c r="T15" s="50">
        <f>IFERROR(VLOOKUP(Q15,'[1]back office'!$A$11:$B$13,2,FALSE),"-")</f>
        <v>35</v>
      </c>
      <c r="U15" s="50">
        <f>IFERROR(VLOOKUP(R15,'[1]back office'!$C$11:$D$13,2,FALSE),"-")</f>
        <v>0</v>
      </c>
      <c r="V15" s="50" t="str">
        <f>IFERROR(VLOOKUP(S15,'[1]back office'!$E$11:$F$13,2,FALSE),"-")</f>
        <v>-</v>
      </c>
      <c r="W15" s="51">
        <f t="shared" si="9"/>
        <v>35</v>
      </c>
      <c r="X15" s="49" t="s">
        <v>70</v>
      </c>
      <c r="Y15" s="49" t="s">
        <v>59</v>
      </c>
      <c r="Z15" s="49" t="s">
        <v>75</v>
      </c>
      <c r="AA15" s="49" t="s">
        <v>76</v>
      </c>
      <c r="AB15" s="50" t="str">
        <f>IFERROR(VLOOKUP(X15,'[1]back office'!$A$17:$B$19,2,FALSE),"-")</f>
        <v>-</v>
      </c>
      <c r="AC15" s="50" t="str">
        <f>IFERROR(VLOOKUP(Y15,'[1]back office'!$C$17:$D$19,2,FALSE),"-")</f>
        <v>-</v>
      </c>
      <c r="AD15" s="50">
        <f>IFERROR(VLOOKUP(Z15,'[1]back office'!$E$17:$F$19,2,FALSE),"-")</f>
        <v>20</v>
      </c>
      <c r="AE15" s="50">
        <f>IFERROR(VLOOKUP(AA15,'[1]back office'!$G$17:$H$19,2,FALSE),"-")</f>
        <v>0</v>
      </c>
      <c r="AF15" s="51">
        <f t="shared" ref="AF15:AF21" si="15">SUM(AB15:AE15)</f>
        <v>20</v>
      </c>
      <c r="AG15" s="49" t="s">
        <v>63</v>
      </c>
      <c r="AH15" s="51">
        <f>IFERROR(VLOOKUP(AG15,'[1]back office'!$A$23:$B$25,2,FALSE),"-")</f>
        <v>0</v>
      </c>
      <c r="AI15" s="49">
        <v>30</v>
      </c>
      <c r="AJ15" s="49">
        <v>15</v>
      </c>
      <c r="AK15" s="49">
        <f t="shared" si="2"/>
        <v>30</v>
      </c>
      <c r="AL15" s="49">
        <v>15</v>
      </c>
      <c r="AM15" s="51">
        <f t="shared" ref="AM15:AM21" si="16">+SUM(AK15:AL15)</f>
        <v>45</v>
      </c>
      <c r="AN15" s="49" t="s">
        <v>64</v>
      </c>
      <c r="AO15" s="51">
        <f>IFERROR(VLOOKUP(AN15,'[1]back office'!$A$36:$B$38,2,FALSE),"-")</f>
        <v>0</v>
      </c>
    </row>
    <row r="16" spans="1:41">
      <c r="A16" s="47" t="s">
        <v>77</v>
      </c>
      <c r="B16" s="50" t="str">
        <f t="shared" si="0"/>
        <v>A</v>
      </c>
      <c r="C16" s="50">
        <f t="shared" si="1"/>
        <v>185</v>
      </c>
      <c r="D16" s="49" t="s">
        <v>50</v>
      </c>
      <c r="E16" s="49" t="s">
        <v>73</v>
      </c>
      <c r="F16" s="49" t="s">
        <v>74</v>
      </c>
      <c r="G16" s="49" t="s">
        <v>53</v>
      </c>
      <c r="H16" s="49" t="s">
        <v>54</v>
      </c>
      <c r="I16" s="49" t="s">
        <v>78</v>
      </c>
      <c r="J16" s="50">
        <f>IFERROR(VLOOKUP(D16,'[1]back office'!$A$4:$B$6,2,FALSE),"-")</f>
        <v>25</v>
      </c>
      <c r="K16" s="50">
        <f>IFERROR(VLOOKUP(E16,'[1]back office'!$C$4:$D$6,2,FALSE),"-")</f>
        <v>0</v>
      </c>
      <c r="L16" s="50">
        <f>IFERROR(VLOOKUP(F16,'[1]back office'!$E$4:$F$6,2,FALSE),"-")</f>
        <v>15</v>
      </c>
      <c r="M16" s="50">
        <f>IFERROR(VLOOKUP(G16,'[1]back office'!$G$4:$H$6,2,FALSE),"-")</f>
        <v>15</v>
      </c>
      <c r="N16" s="50">
        <f>IFERROR(VLOOKUP(H16,'[1]back office'!$I$4:$J$6,2,FALSE),"-")</f>
        <v>0</v>
      </c>
      <c r="O16" s="50" t="str">
        <f>IFERROR(VLOOKUP(I16,'[1]back office'!$K$4:$L$6,2,FALSE),"-")</f>
        <v>-</v>
      </c>
      <c r="P16" s="51">
        <f t="shared" si="8"/>
        <v>55</v>
      </c>
      <c r="Q16" s="49" t="s">
        <v>56</v>
      </c>
      <c r="R16" s="49" t="s">
        <v>57</v>
      </c>
      <c r="S16" s="49" t="s">
        <v>58</v>
      </c>
      <c r="T16" s="50">
        <f>IFERROR(VLOOKUP(Q16,'[1]back office'!$A$11:$B$13,2,FALSE),"-")</f>
        <v>35</v>
      </c>
      <c r="U16" s="50">
        <f>IFERROR(VLOOKUP(R16,'[1]back office'!$C$11:$D$13,2,FALSE),"-")</f>
        <v>0</v>
      </c>
      <c r="V16" s="50" t="str">
        <f>IFERROR(VLOOKUP(S16,'[1]back office'!$E$11:$F$13,2,FALSE),"-")</f>
        <v>-</v>
      </c>
      <c r="W16" s="51">
        <f t="shared" si="9"/>
        <v>35</v>
      </c>
      <c r="X16" s="49" t="s">
        <v>70</v>
      </c>
      <c r="Y16" s="49" t="s">
        <v>70</v>
      </c>
      <c r="Z16" s="49" t="s">
        <v>75</v>
      </c>
      <c r="AA16" s="49" t="s">
        <v>66</v>
      </c>
      <c r="AB16" s="50" t="str">
        <f>IFERROR(VLOOKUP(X16,'[1]back office'!$A$17:$B$19,2,FALSE),"-")</f>
        <v>-</v>
      </c>
      <c r="AC16" s="50" t="str">
        <f>IFERROR(VLOOKUP(Y16,'[1]back office'!$C$17:$D$19,2,FALSE),"-")</f>
        <v>-</v>
      </c>
      <c r="AD16" s="50">
        <f>IFERROR(VLOOKUP(Z16,'[1]back office'!$E$17:$F$19,2,FALSE),"-")</f>
        <v>20</v>
      </c>
      <c r="AE16" s="50">
        <f>IFERROR(VLOOKUP(AA16,'[1]back office'!$G$17:$H$19,2,FALSE),"-")</f>
        <v>10</v>
      </c>
      <c r="AF16" s="51">
        <f t="shared" si="15"/>
        <v>30</v>
      </c>
      <c r="AG16" s="49" t="s">
        <v>63</v>
      </c>
      <c r="AH16" s="51">
        <f>IFERROR(VLOOKUP(AG16,'[1]back office'!$A$23:$B$25,2,FALSE),"-")</f>
        <v>0</v>
      </c>
      <c r="AI16" s="49">
        <v>50</v>
      </c>
      <c r="AJ16" s="49">
        <v>15</v>
      </c>
      <c r="AK16" s="49">
        <v>50</v>
      </c>
      <c r="AL16" s="49">
        <v>15</v>
      </c>
      <c r="AM16" s="51">
        <f t="shared" si="16"/>
        <v>65</v>
      </c>
      <c r="AN16" s="49" t="s">
        <v>64</v>
      </c>
      <c r="AO16" s="51">
        <f>IFERROR(VLOOKUP(AN16,'[1]back office'!$A$36:$B$38,2,FALSE),"-")</f>
        <v>0</v>
      </c>
    </row>
    <row r="17" spans="1:41">
      <c r="A17" s="47" t="s">
        <v>79</v>
      </c>
      <c r="B17" s="50" t="str">
        <f t="shared" si="0"/>
        <v>A</v>
      </c>
      <c r="C17" s="50">
        <f t="shared" si="1"/>
        <v>220</v>
      </c>
      <c r="D17" s="49" t="s">
        <v>50</v>
      </c>
      <c r="E17" s="49" t="s">
        <v>73</v>
      </c>
      <c r="F17" s="49" t="s">
        <v>74</v>
      </c>
      <c r="G17" s="49" t="s">
        <v>53</v>
      </c>
      <c r="H17" s="49" t="s">
        <v>54</v>
      </c>
      <c r="I17" s="49" t="s">
        <v>55</v>
      </c>
      <c r="J17" s="50">
        <f>IFERROR(VLOOKUP(D17,'[1]back office'!$A$4:$B$6,2,FALSE),"-")</f>
        <v>25</v>
      </c>
      <c r="K17" s="50">
        <f>IFERROR(VLOOKUP(E17,'[1]back office'!$C$4:$D$6,2,FALSE),"-")</f>
        <v>0</v>
      </c>
      <c r="L17" s="50">
        <f>IFERROR(VLOOKUP(F17,'[1]back office'!$E$4:$F$6,2,FALSE),"-")</f>
        <v>15</v>
      </c>
      <c r="M17" s="50">
        <f>IFERROR(VLOOKUP(G17,'[1]back office'!$G$4:$H$6,2,FALSE),"-")</f>
        <v>15</v>
      </c>
      <c r="N17" s="50">
        <f>IFERROR(VLOOKUP(H17,'[1]back office'!$I$4:$J$6,2,FALSE),"-")</f>
        <v>0</v>
      </c>
      <c r="O17" s="50">
        <f>IFERROR(VLOOKUP(I17,'[1]back office'!$K$4:$L$6,2,FALSE),"-")</f>
        <v>35</v>
      </c>
      <c r="P17" s="51">
        <f t="shared" si="8"/>
        <v>90</v>
      </c>
      <c r="Q17" s="49" t="s">
        <v>56</v>
      </c>
      <c r="R17" s="49" t="s">
        <v>57</v>
      </c>
      <c r="S17" s="49" t="s">
        <v>58</v>
      </c>
      <c r="T17" s="50">
        <f>IFERROR(VLOOKUP(Q17,'[1]back office'!$A$11:$B$13,2,FALSE),"-")</f>
        <v>35</v>
      </c>
      <c r="U17" s="50">
        <f>IFERROR(VLOOKUP(R17,'[1]back office'!$C$11:$D$13,2,FALSE),"-")</f>
        <v>0</v>
      </c>
      <c r="V17" s="50" t="str">
        <f>IFERROR(VLOOKUP(S17,'[1]back office'!$E$11:$F$13,2,FALSE),"-")</f>
        <v>-</v>
      </c>
      <c r="W17" s="51">
        <f t="shared" si="9"/>
        <v>35</v>
      </c>
      <c r="X17" s="49" t="s">
        <v>70</v>
      </c>
      <c r="Y17" s="49" t="s">
        <v>60</v>
      </c>
      <c r="Z17" s="49" t="s">
        <v>75</v>
      </c>
      <c r="AA17" s="49" t="s">
        <v>62</v>
      </c>
      <c r="AB17" s="50">
        <v>5</v>
      </c>
      <c r="AC17" s="50" t="str">
        <f>IFERROR(VLOOKUP(Y17,'[1]back office'!$C$17:$D$19,2,FALSE),"-")</f>
        <v>-</v>
      </c>
      <c r="AD17" s="50">
        <f>IFERROR(VLOOKUP(Z17,'[1]back office'!$E$17:$F$19,2,FALSE),"-")</f>
        <v>20</v>
      </c>
      <c r="AE17" s="50">
        <f>IFERROR(VLOOKUP(AA17,'[1]back office'!$G$17:$H$19,2,FALSE),"-")</f>
        <v>5</v>
      </c>
      <c r="AF17" s="51">
        <f t="shared" si="15"/>
        <v>30</v>
      </c>
      <c r="AG17" s="49" t="s">
        <v>63</v>
      </c>
      <c r="AH17" s="51">
        <f>IFERROR(VLOOKUP(AG17,'[1]back office'!$A$23:$B$25,2,FALSE),"-")</f>
        <v>0</v>
      </c>
      <c r="AI17" s="49">
        <v>50</v>
      </c>
      <c r="AJ17" s="49">
        <v>15</v>
      </c>
      <c r="AK17" s="49">
        <f>AI17</f>
        <v>50</v>
      </c>
      <c r="AL17" s="49">
        <v>15</v>
      </c>
      <c r="AM17" s="51">
        <f t="shared" si="16"/>
        <v>65</v>
      </c>
      <c r="AN17" s="49" t="s">
        <v>64</v>
      </c>
      <c r="AO17" s="51">
        <f>IFERROR(VLOOKUP(AN17,'[1]back office'!$A$36:$B$38,2,FALSE),"-")</f>
        <v>0</v>
      </c>
    </row>
    <row r="18" spans="1:41" ht="15" customHeight="1">
      <c r="A18" s="47" t="s">
        <v>80</v>
      </c>
      <c r="B18" s="50" t="str">
        <f t="shared" si="0"/>
        <v>A</v>
      </c>
      <c r="C18" s="50">
        <f t="shared" si="1"/>
        <v>225</v>
      </c>
      <c r="D18" s="49" t="s">
        <v>50</v>
      </c>
      <c r="E18" s="49" t="s">
        <v>73</v>
      </c>
      <c r="F18" s="49" t="s">
        <v>74</v>
      </c>
      <c r="G18" s="49" t="s">
        <v>53</v>
      </c>
      <c r="H18" s="49" t="s">
        <v>54</v>
      </c>
      <c r="I18" s="49" t="s">
        <v>55</v>
      </c>
      <c r="J18" s="50">
        <f>IFERROR(VLOOKUP(D18,'[1]back office'!$A$4:$B$6,2,FALSE),"-")</f>
        <v>25</v>
      </c>
      <c r="K18" s="50">
        <f>IFERROR(VLOOKUP(E18,'[1]back office'!$C$4:$D$6,2,FALSE),"-")</f>
        <v>0</v>
      </c>
      <c r="L18" s="50">
        <f>IFERROR(VLOOKUP(F18,'[1]back office'!$E$4:$F$6,2,FALSE),"-")</f>
        <v>15</v>
      </c>
      <c r="M18" s="50">
        <f>IFERROR(VLOOKUP(G18,'[1]back office'!$G$4:$H$6,2,FALSE),"-")</f>
        <v>15</v>
      </c>
      <c r="N18" s="50">
        <f>IFERROR(VLOOKUP(H18,'[1]back office'!$I$4:$J$6,2,FALSE),"-")</f>
        <v>0</v>
      </c>
      <c r="O18" s="50">
        <f>IFERROR(VLOOKUP(I18,'[1]back office'!$K$4:$L$6,2,FALSE),"-")</f>
        <v>35</v>
      </c>
      <c r="P18" s="51">
        <f t="shared" si="8"/>
        <v>90</v>
      </c>
      <c r="Q18" s="49" t="s">
        <v>56</v>
      </c>
      <c r="R18" s="49" t="s">
        <v>57</v>
      </c>
      <c r="S18" s="49" t="s">
        <v>58</v>
      </c>
      <c r="T18" s="50">
        <f>IFERROR(VLOOKUP(Q18,'[1]back office'!$A$11:$B$13,2,FALSE),"-")</f>
        <v>35</v>
      </c>
      <c r="U18" s="50">
        <f>IFERROR(VLOOKUP(R18,'[1]back office'!$C$11:$D$13,2,FALSE),"-")</f>
        <v>0</v>
      </c>
      <c r="V18" s="50" t="str">
        <f>IFERROR(VLOOKUP(S18,'[1]back office'!$E$11:$F$13,2,FALSE),"-")</f>
        <v>-</v>
      </c>
      <c r="W18" s="51">
        <f t="shared" si="9"/>
        <v>35</v>
      </c>
      <c r="X18" s="49" t="s">
        <v>70</v>
      </c>
      <c r="Y18" s="49" t="s">
        <v>60</v>
      </c>
      <c r="Z18" s="49" t="s">
        <v>75</v>
      </c>
      <c r="AA18" s="49" t="s">
        <v>66</v>
      </c>
      <c r="AB18" s="50">
        <v>5</v>
      </c>
      <c r="AC18" s="50" t="str">
        <f>IFERROR(VLOOKUP(Y18,'[1]back office'!$C$17:$D$19,2,FALSE),"-")</f>
        <v>-</v>
      </c>
      <c r="AD18" s="50">
        <f>IFERROR(VLOOKUP(Z18,'[1]back office'!$E$17:$F$19,2,FALSE),"-")</f>
        <v>20</v>
      </c>
      <c r="AE18" s="50">
        <f>IFERROR(VLOOKUP(AA18,'[1]back office'!$G$17:$H$19,2,FALSE),"-")</f>
        <v>10</v>
      </c>
      <c r="AF18" s="51">
        <f t="shared" si="15"/>
        <v>35</v>
      </c>
      <c r="AG18" s="49" t="s">
        <v>63</v>
      </c>
      <c r="AH18" s="51">
        <f>IFERROR(VLOOKUP(AG18,'[1]back office'!$A$23:$B$25,2,FALSE),"-")</f>
        <v>0</v>
      </c>
      <c r="AI18" s="49">
        <v>50</v>
      </c>
      <c r="AJ18" s="49">
        <v>15</v>
      </c>
      <c r="AK18" s="49">
        <v>50</v>
      </c>
      <c r="AL18" s="49">
        <v>15</v>
      </c>
      <c r="AM18" s="51">
        <f t="shared" si="16"/>
        <v>65</v>
      </c>
      <c r="AN18" s="49" t="s">
        <v>64</v>
      </c>
      <c r="AO18" s="51">
        <f>IFERROR(VLOOKUP(AN18,'[1]back office'!$A$36:$B$38,2,FALSE),"-")</f>
        <v>0</v>
      </c>
    </row>
    <row r="19" spans="1:41">
      <c r="A19" s="47" t="s">
        <v>81</v>
      </c>
      <c r="B19" s="50" t="str">
        <f t="shared" si="0"/>
        <v>A</v>
      </c>
      <c r="C19" s="50">
        <f t="shared" si="1"/>
        <v>180</v>
      </c>
      <c r="D19" s="49" t="s">
        <v>50</v>
      </c>
      <c r="E19" s="49" t="s">
        <v>73</v>
      </c>
      <c r="F19" s="49" t="s">
        <v>74</v>
      </c>
      <c r="G19" s="49" t="s">
        <v>53</v>
      </c>
      <c r="H19" s="49" t="s">
        <v>54</v>
      </c>
      <c r="I19" s="49" t="s">
        <v>55</v>
      </c>
      <c r="J19" s="50">
        <f>IFERROR(VLOOKUP(D19,'[1]back office'!$A$4:$B$6,2,FALSE),"-")</f>
        <v>25</v>
      </c>
      <c r="K19" s="50">
        <f>IFERROR(VLOOKUP(E19,'[1]back office'!$C$4:$D$6,2,FALSE),"-")</f>
        <v>0</v>
      </c>
      <c r="L19" s="50">
        <f>IFERROR(VLOOKUP(F19,'[1]back office'!$E$4:$F$6,2,FALSE),"-")</f>
        <v>15</v>
      </c>
      <c r="M19" s="50">
        <f>IFERROR(VLOOKUP(G19,'[1]back office'!$G$4:$H$6,2,FALSE),"-")</f>
        <v>15</v>
      </c>
      <c r="N19" s="50">
        <f>IFERROR(VLOOKUP(H19,'[1]back office'!$I$4:$J$6,2,FALSE),"-")</f>
        <v>0</v>
      </c>
      <c r="O19" s="50">
        <f>IFERROR(VLOOKUP(I19,'[1]back office'!$K$4:$L$6,2,FALSE),"-")</f>
        <v>35</v>
      </c>
      <c r="P19" s="51">
        <f t="shared" si="8"/>
        <v>90</v>
      </c>
      <c r="Q19" s="49" t="s">
        <v>56</v>
      </c>
      <c r="R19" s="49" t="s">
        <v>57</v>
      </c>
      <c r="S19" s="49" t="s">
        <v>58</v>
      </c>
      <c r="T19" s="50">
        <f>IFERROR(VLOOKUP(Q19,'[1]back office'!$A$11:$B$13,2,FALSE),"-")</f>
        <v>35</v>
      </c>
      <c r="U19" s="50">
        <f>IFERROR(VLOOKUP(R19,'[1]back office'!$C$11:$D$13,2,FALSE),"-")</f>
        <v>0</v>
      </c>
      <c r="V19" s="50" t="str">
        <f>IFERROR(VLOOKUP(S19,'[1]back office'!$E$11:$F$13,2,FALSE),"-")</f>
        <v>-</v>
      </c>
      <c r="W19" s="51">
        <f>SUM(T19:V19)</f>
        <v>35</v>
      </c>
      <c r="X19" s="49" t="s">
        <v>70</v>
      </c>
      <c r="Y19" s="49" t="s">
        <v>60</v>
      </c>
      <c r="Z19" s="49" t="s">
        <v>75</v>
      </c>
      <c r="AA19" s="49" t="s">
        <v>62</v>
      </c>
      <c r="AB19" s="50" t="str">
        <f>IFERROR(VLOOKUP(X19,'[1]back office'!$A$17:$B$19,2,FALSE),"-")</f>
        <v>-</v>
      </c>
      <c r="AC19" s="50" t="str">
        <f>IFERROR(VLOOKUP(Y19,'[1]back office'!$C$17:$D$19,2,FALSE),"-")</f>
        <v>-</v>
      </c>
      <c r="AD19" s="50">
        <f>IFERROR(VLOOKUP(Z19,'[1]back office'!$E$17:$F$19,2,FALSE),"-")</f>
        <v>20</v>
      </c>
      <c r="AE19" s="50">
        <f>IFERROR(VLOOKUP(AA19,'[1]back office'!$G$17:$H$19,2,FALSE),"-")</f>
        <v>5</v>
      </c>
      <c r="AF19" s="51">
        <f t="shared" si="15"/>
        <v>25</v>
      </c>
      <c r="AG19" s="49" t="s">
        <v>63</v>
      </c>
      <c r="AH19" s="51">
        <f>IFERROR(VLOOKUP(AG19,'[1]back office'!$A$23:$B$25,2,FALSE),"-")</f>
        <v>0</v>
      </c>
      <c r="AI19" s="49">
        <v>50</v>
      </c>
      <c r="AJ19" s="49">
        <v>15</v>
      </c>
      <c r="AK19" s="49">
        <v>0</v>
      </c>
      <c r="AL19" s="49">
        <v>30</v>
      </c>
      <c r="AM19" s="51">
        <f t="shared" si="16"/>
        <v>30</v>
      </c>
      <c r="AN19" s="49" t="s">
        <v>64</v>
      </c>
      <c r="AO19" s="51">
        <f>IFERROR(VLOOKUP(AN19,'[1]back office'!$A$36:$B$38,2,FALSE),"-")</f>
        <v>0</v>
      </c>
    </row>
    <row r="20" spans="1:41">
      <c r="A20" s="47" t="s">
        <v>82</v>
      </c>
      <c r="B20" s="50" t="str">
        <f t="shared" si="0"/>
        <v>A</v>
      </c>
      <c r="C20" s="50">
        <f t="shared" si="1"/>
        <v>180</v>
      </c>
      <c r="D20" s="49" t="s">
        <v>50</v>
      </c>
      <c r="E20" s="49" t="s">
        <v>73</v>
      </c>
      <c r="F20" s="49" t="s">
        <v>74</v>
      </c>
      <c r="G20" s="49" t="s">
        <v>53</v>
      </c>
      <c r="H20" s="49" t="s">
        <v>54</v>
      </c>
      <c r="I20" s="49" t="s">
        <v>55</v>
      </c>
      <c r="J20" s="50">
        <f>IFERROR(VLOOKUP(D20,'[1]back office'!$A$4:$B$6,2,FALSE),"-")</f>
        <v>25</v>
      </c>
      <c r="K20" s="50">
        <f>IFERROR(VLOOKUP(E20,'[1]back office'!$C$4:$D$6,2,FALSE),"-")</f>
        <v>0</v>
      </c>
      <c r="L20" s="50">
        <f>IFERROR(VLOOKUP(F20,'[1]back office'!$E$4:$F$6,2,FALSE),"-")</f>
        <v>15</v>
      </c>
      <c r="M20" s="50">
        <f>IFERROR(VLOOKUP(G20,'[1]back office'!$G$4:$H$6,2,FALSE),"-")</f>
        <v>15</v>
      </c>
      <c r="N20" s="50">
        <f>IFERROR(VLOOKUP(H20,'[1]back office'!$I$4:$J$6,2,FALSE),"-")</f>
        <v>0</v>
      </c>
      <c r="O20" s="50">
        <f>IFERROR(VLOOKUP(I20,'[1]back office'!$K$4:$L$6,2,FALSE),"-")</f>
        <v>35</v>
      </c>
      <c r="P20" s="51">
        <f t="shared" si="8"/>
        <v>90</v>
      </c>
      <c r="Q20" s="49" t="s">
        <v>56</v>
      </c>
      <c r="R20" s="49" t="s">
        <v>57</v>
      </c>
      <c r="S20" s="49" t="s">
        <v>58</v>
      </c>
      <c r="T20" s="50">
        <f>IFERROR(VLOOKUP(Q20,'[1]back office'!$A$11:$B$13,2,FALSE),"-")</f>
        <v>35</v>
      </c>
      <c r="U20" s="50">
        <f>IFERROR(VLOOKUP(R20,'[1]back office'!$C$11:$D$13,2,FALSE),"-")</f>
        <v>0</v>
      </c>
      <c r="V20" s="50" t="str">
        <f>IFERROR(VLOOKUP(S20,'[1]back office'!$E$11:$F$13,2,FALSE),"-")</f>
        <v>-</v>
      </c>
      <c r="W20" s="51">
        <f>SUM(T20:V20)</f>
        <v>35</v>
      </c>
      <c r="X20" s="49" t="s">
        <v>70</v>
      </c>
      <c r="Y20" s="49" t="s">
        <v>60</v>
      </c>
      <c r="Z20" s="49" t="s">
        <v>75</v>
      </c>
      <c r="AA20" s="49" t="s">
        <v>62</v>
      </c>
      <c r="AB20" s="50" t="str">
        <f>IFERROR(VLOOKUP(X20,'[1]back office'!$A$17:$B$19,2,FALSE),"-")</f>
        <v>-</v>
      </c>
      <c r="AC20" s="50" t="str">
        <f>IFERROR(VLOOKUP(Y20,'[1]back office'!$C$17:$D$19,2,FALSE),"-")</f>
        <v>-</v>
      </c>
      <c r="AD20" s="50">
        <f>IFERROR(VLOOKUP(Z20,'[1]back office'!$E$17:$F$19,2,FALSE),"-")</f>
        <v>20</v>
      </c>
      <c r="AE20" s="50">
        <f>IFERROR(VLOOKUP(AA20,'[1]back office'!$G$17:$H$19,2,FALSE),"-")</f>
        <v>5</v>
      </c>
      <c r="AF20" s="51">
        <f t="shared" si="15"/>
        <v>25</v>
      </c>
      <c r="AG20" s="49" t="s">
        <v>63</v>
      </c>
      <c r="AH20" s="51">
        <f>IFERROR(VLOOKUP(AG20,'[1]back office'!$A$23:$B$25,2,FALSE),"-")</f>
        <v>0</v>
      </c>
      <c r="AI20" s="49">
        <v>50</v>
      </c>
      <c r="AJ20" s="49">
        <v>15</v>
      </c>
      <c r="AK20" s="49">
        <v>0</v>
      </c>
      <c r="AL20" s="49">
        <v>30</v>
      </c>
      <c r="AM20" s="51">
        <f t="shared" si="16"/>
        <v>30</v>
      </c>
      <c r="AN20" s="49" t="s">
        <v>64</v>
      </c>
      <c r="AO20" s="51">
        <f>IFERROR(VLOOKUP(AN20,'[1]back office'!$A$36:$B$38,2,FALSE),"-")</f>
        <v>0</v>
      </c>
    </row>
    <row r="21" spans="1:41">
      <c r="A21" s="47" t="s">
        <v>83</v>
      </c>
      <c r="B21" s="50" t="str">
        <f t="shared" si="0"/>
        <v>B</v>
      </c>
      <c r="C21" s="50">
        <f t="shared" si="1"/>
        <v>115</v>
      </c>
      <c r="D21" s="49" t="s">
        <v>50</v>
      </c>
      <c r="E21" s="49" t="s">
        <v>73</v>
      </c>
      <c r="F21" s="49" t="s">
        <v>74</v>
      </c>
      <c r="G21" s="49" t="s">
        <v>53</v>
      </c>
      <c r="H21" s="49" t="s">
        <v>54</v>
      </c>
      <c r="I21" s="49" t="s">
        <v>78</v>
      </c>
      <c r="J21" s="50">
        <f>IFERROR(VLOOKUP(D21,'[1]back office'!$A$4:$B$6,2,FALSE),"-")</f>
        <v>25</v>
      </c>
      <c r="K21" s="50">
        <f>IFERROR(VLOOKUP(E21,'[1]back office'!$C$4:$D$6,2,FALSE),"-")</f>
        <v>0</v>
      </c>
      <c r="L21" s="50">
        <f>IFERROR(VLOOKUP(F21,'[1]back office'!$E$4:$F$6,2,FALSE),"-")</f>
        <v>15</v>
      </c>
      <c r="M21" s="50">
        <f>IFERROR(VLOOKUP(G21,'[1]back office'!$G$4:$H$6,2,FALSE),"-")</f>
        <v>15</v>
      </c>
      <c r="N21" s="50">
        <f>IFERROR(VLOOKUP(H21,'[1]back office'!$I$4:$J$6,2,FALSE),"-")</f>
        <v>0</v>
      </c>
      <c r="O21" s="50" t="str">
        <f>IFERROR(VLOOKUP(I21,'[1]back office'!$K$4:$L$6,2,FALSE),"-")</f>
        <v>-</v>
      </c>
      <c r="P21" s="51">
        <f>SUM(J21:O21)</f>
        <v>55</v>
      </c>
      <c r="Q21" s="49" t="s">
        <v>54</v>
      </c>
      <c r="R21" s="49" t="s">
        <v>57</v>
      </c>
      <c r="S21" s="49" t="s">
        <v>58</v>
      </c>
      <c r="T21" s="50">
        <f>IFERROR(VLOOKUP(Q21,'[1]back office'!$A$11:$B$13,2,FALSE),"-")</f>
        <v>0</v>
      </c>
      <c r="U21" s="50">
        <f>IFERROR(VLOOKUP(R21,'[1]back office'!$C$11:$D$13,2,FALSE),"-")</f>
        <v>0</v>
      </c>
      <c r="V21" s="50" t="str">
        <f>IFERROR(VLOOKUP(S21,'[1]back office'!$E$11:$F$13,2,FALSE),"-")</f>
        <v>-</v>
      </c>
      <c r="W21" s="51">
        <f>SUM(T21:V21)</f>
        <v>0</v>
      </c>
      <c r="X21" s="49" t="s">
        <v>70</v>
      </c>
      <c r="Y21" s="49" t="s">
        <v>84</v>
      </c>
      <c r="Z21" s="49" t="s">
        <v>75</v>
      </c>
      <c r="AA21" s="49" t="s">
        <v>62</v>
      </c>
      <c r="AB21" s="50" t="str">
        <f>IFERROR(VLOOKUP(X21,'[1]back office'!$A$17:$B$19,2,FALSE),"-")</f>
        <v>-</v>
      </c>
      <c r="AC21" s="50">
        <f>IFERROR(VLOOKUP(Y21,'[1]back office'!$C$17:$D$19,2,FALSE),"-")</f>
        <v>5</v>
      </c>
      <c r="AD21" s="50">
        <f>IFERROR(VLOOKUP(Z21,'[1]back office'!$E$17:$F$19,2,FALSE),"-")</f>
        <v>20</v>
      </c>
      <c r="AE21" s="50">
        <f>IFERROR(VLOOKUP(AA21,'[1]back office'!$G$17:$H$19,2,FALSE),"-")</f>
        <v>5</v>
      </c>
      <c r="AF21" s="51">
        <f t="shared" si="15"/>
        <v>30</v>
      </c>
      <c r="AG21" s="49" t="s">
        <v>63</v>
      </c>
      <c r="AH21" s="51">
        <f>IFERROR(VLOOKUP(AG21,'[1]back office'!$A$23:$B$25,2,FALSE),"-")</f>
        <v>0</v>
      </c>
      <c r="AI21" s="49">
        <v>50</v>
      </c>
      <c r="AJ21" s="49">
        <v>15</v>
      </c>
      <c r="AK21" s="49">
        <v>0</v>
      </c>
      <c r="AL21" s="49">
        <v>30</v>
      </c>
      <c r="AM21" s="51">
        <f t="shared" si="16"/>
        <v>30</v>
      </c>
      <c r="AN21" s="49" t="s">
        <v>64</v>
      </c>
      <c r="AO21" s="51">
        <f>IFERROR(VLOOKUP(AN21,'[1]back office'!$A$36:$B$38,2,FALSE),"-")</f>
        <v>0</v>
      </c>
    </row>
    <row r="22" spans="1:41">
      <c r="A22" s="47" t="s">
        <v>85</v>
      </c>
      <c r="B22" s="50" t="str">
        <f t="shared" si="0"/>
        <v>B</v>
      </c>
      <c r="C22" s="50">
        <f t="shared" ref="C22" si="17">IF(SUM(P22,W22,AF22,AH22,AM22,AO22)=0,"",SUM(P22,W22,AF22,AH22,AM22,AO22))</f>
        <v>115</v>
      </c>
      <c r="D22" s="49" t="s">
        <v>50</v>
      </c>
      <c r="E22" s="49" t="s">
        <v>73</v>
      </c>
      <c r="F22" s="49" t="s">
        <v>74</v>
      </c>
      <c r="G22" s="49" t="s">
        <v>53</v>
      </c>
      <c r="H22" s="49" t="s">
        <v>54</v>
      </c>
      <c r="I22" s="49" t="s">
        <v>78</v>
      </c>
      <c r="J22" s="50">
        <f>IFERROR(VLOOKUP(D22,'[1]back office'!$A$4:$B$6,2,FALSE),"-")</f>
        <v>25</v>
      </c>
      <c r="K22" s="50">
        <f>IFERROR(VLOOKUP(E22,'[1]back office'!$C$4:$D$6,2,FALSE),"-")</f>
        <v>0</v>
      </c>
      <c r="L22" s="50">
        <f>IFERROR(VLOOKUP(F22,'[1]back office'!$E$4:$F$6,2,FALSE),"-")</f>
        <v>15</v>
      </c>
      <c r="M22" s="50">
        <f>IFERROR(VLOOKUP(G22,'[1]back office'!$G$4:$H$6,2,FALSE),"-")</f>
        <v>15</v>
      </c>
      <c r="N22" s="50">
        <f>IFERROR(VLOOKUP(H22,'[1]back office'!$I$4:$J$6,2,FALSE),"-")</f>
        <v>0</v>
      </c>
      <c r="O22" s="50" t="str">
        <f>IFERROR(VLOOKUP(I22,'[1]back office'!$K$4:$L$6,2,FALSE),"-")</f>
        <v>-</v>
      </c>
      <c r="P22" s="51">
        <f t="shared" ref="P22" si="18">SUM(J22:O22)</f>
        <v>55</v>
      </c>
      <c r="Q22" s="49" t="s">
        <v>54</v>
      </c>
      <c r="R22" s="49" t="s">
        <v>57</v>
      </c>
      <c r="S22" s="49" t="s">
        <v>58</v>
      </c>
      <c r="T22" s="50">
        <f>IFERROR(VLOOKUP(Q22,'[1]back office'!$A$11:$B$13,2,FALSE),"-")</f>
        <v>0</v>
      </c>
      <c r="U22" s="50">
        <f>IFERROR(VLOOKUP(R22,'[1]back office'!$C$11:$D$13,2,FALSE),"-")</f>
        <v>0</v>
      </c>
      <c r="V22" s="50" t="str">
        <f>IFERROR(VLOOKUP(S22,'[1]back office'!$E$11:$F$13,2,FALSE),"-")</f>
        <v>-</v>
      </c>
      <c r="W22" s="51">
        <f t="shared" ref="W22" si="19">SUM(T22:V22)</f>
        <v>0</v>
      </c>
      <c r="X22" s="49" t="s">
        <v>70</v>
      </c>
      <c r="Y22" s="49" t="s">
        <v>84</v>
      </c>
      <c r="Z22" s="49" t="s">
        <v>75</v>
      </c>
      <c r="AA22" s="49" t="s">
        <v>62</v>
      </c>
      <c r="AB22" s="50" t="str">
        <f>IFERROR(VLOOKUP(X22,'[1]back office'!$A$17:$B$19,2,FALSE),"-")</f>
        <v>-</v>
      </c>
      <c r="AC22" s="50">
        <f>IFERROR(VLOOKUP(Y22,'[1]back office'!$C$17:$D$19,2,FALSE),"-")</f>
        <v>5</v>
      </c>
      <c r="AD22" s="50">
        <f>IFERROR(VLOOKUP(Z22,'[1]back office'!$E$17:$F$19,2,FALSE),"-")</f>
        <v>20</v>
      </c>
      <c r="AE22" s="50">
        <f>IFERROR(VLOOKUP(AA22,'[1]back office'!$G$17:$H$19,2,FALSE),"-")</f>
        <v>5</v>
      </c>
      <c r="AF22" s="51">
        <f t="shared" ref="AF22" si="20">SUM(AB22:AE22)</f>
        <v>30</v>
      </c>
      <c r="AG22" s="49" t="s">
        <v>63</v>
      </c>
      <c r="AH22" s="51">
        <f>IFERROR(VLOOKUP(AG22,'[1]back office'!$A$23:$B$25,2,FALSE),"-")</f>
        <v>0</v>
      </c>
      <c r="AI22" s="49">
        <v>30</v>
      </c>
      <c r="AJ22" s="49">
        <v>15</v>
      </c>
      <c r="AK22" s="49">
        <v>0</v>
      </c>
      <c r="AL22" s="49">
        <v>30</v>
      </c>
      <c r="AM22" s="51">
        <f t="shared" ref="AM22" si="21">+SUM(AK22:AL22)</f>
        <v>30</v>
      </c>
      <c r="AN22" s="49" t="s">
        <v>64</v>
      </c>
      <c r="AO22" s="51">
        <f>IFERROR(VLOOKUP(AN22,'[1]back office'!$A$36:$B$38,2,FALSE),"-")</f>
        <v>0</v>
      </c>
    </row>
    <row r="23" spans="1:41">
      <c r="A23" s="47" t="s">
        <v>86</v>
      </c>
      <c r="B23" s="50" t="str">
        <f t="shared" si="0"/>
        <v>A</v>
      </c>
      <c r="C23" s="50">
        <f>IF(SUM(P23,W23,AF23,AH23,AM23,AO23)=0,"",SUM(P23,W23,AF23,AH23,AM23,AO23))</f>
        <v>150</v>
      </c>
      <c r="D23" s="49" t="s">
        <v>50</v>
      </c>
      <c r="E23" s="49" t="s">
        <v>73</v>
      </c>
      <c r="F23" s="49" t="s">
        <v>74</v>
      </c>
      <c r="G23" s="49" t="s">
        <v>53</v>
      </c>
      <c r="H23" s="49" t="s">
        <v>54</v>
      </c>
      <c r="I23" s="49" t="s">
        <v>78</v>
      </c>
      <c r="J23" s="50">
        <f>IFERROR(VLOOKUP(D23,'[1]back office'!$A$4:$B$6,2,FALSE),"-")</f>
        <v>25</v>
      </c>
      <c r="K23" s="50">
        <f>IFERROR(VLOOKUP(E23,'[1]back office'!$C$4:$D$6,2,FALSE),"-")</f>
        <v>0</v>
      </c>
      <c r="L23" s="50">
        <f>IFERROR(VLOOKUP(F23,'[1]back office'!$E$4:$F$6,2,FALSE),"-")</f>
        <v>15</v>
      </c>
      <c r="M23" s="50">
        <f>IFERROR(VLOOKUP(G23,'[1]back office'!$G$4:$H$6,2,FALSE),"-")</f>
        <v>15</v>
      </c>
      <c r="N23" s="50">
        <f>IFERROR(VLOOKUP(H23,'[1]back office'!$I$4:$J$6,2,FALSE),"-")</f>
        <v>0</v>
      </c>
      <c r="O23" s="50" t="str">
        <f>IFERROR(VLOOKUP(I23,'[1]back office'!$K$4:$L$6,2,FALSE),"-")</f>
        <v>-</v>
      </c>
      <c r="P23" s="51">
        <f>SUM(J23:O23)</f>
        <v>55</v>
      </c>
      <c r="Q23" s="49" t="s">
        <v>54</v>
      </c>
      <c r="R23" s="49" t="s">
        <v>57</v>
      </c>
      <c r="S23" s="49" t="s">
        <v>58</v>
      </c>
      <c r="T23" s="50">
        <f>IFERROR(VLOOKUP(Q23,'[1]back office'!$A$11:$B$13,2,FALSE),"-")</f>
        <v>0</v>
      </c>
      <c r="U23" s="50">
        <f>IFERROR(VLOOKUP(R23,'[1]back office'!$C$11:$D$13,2,FALSE),"-")</f>
        <v>0</v>
      </c>
      <c r="V23" s="50" t="str">
        <f>IFERROR(VLOOKUP(S23,'[1]back office'!$E$11:$F$13,2,FALSE),"-")</f>
        <v>-</v>
      </c>
      <c r="W23" s="51">
        <f>SUM(T23:V23)</f>
        <v>0</v>
      </c>
      <c r="X23" s="49" t="s">
        <v>70</v>
      </c>
      <c r="Y23" s="49" t="s">
        <v>84</v>
      </c>
      <c r="Z23" s="49" t="s">
        <v>75</v>
      </c>
      <c r="AA23" s="49" t="s">
        <v>62</v>
      </c>
      <c r="AB23" s="50" t="str">
        <f>IFERROR(VLOOKUP(X23,'[1]back office'!$A$17:$B$19,2,FALSE),"-")</f>
        <v>-</v>
      </c>
      <c r="AC23" s="50">
        <f>IFERROR(VLOOKUP(Y23,'[1]back office'!$C$17:$D$19,2,FALSE),"-")</f>
        <v>5</v>
      </c>
      <c r="AD23" s="50">
        <f>IFERROR(VLOOKUP(Z23,'[1]back office'!$E$17:$F$19,2,FALSE),"-")</f>
        <v>20</v>
      </c>
      <c r="AE23" s="50">
        <f>IFERROR(VLOOKUP(AA23,'[1]back office'!$G$17:$H$19,2,FALSE),"-")</f>
        <v>5</v>
      </c>
      <c r="AF23" s="51">
        <f>SUM(AB23:AE23)</f>
        <v>30</v>
      </c>
      <c r="AG23" s="49" t="s">
        <v>63</v>
      </c>
      <c r="AH23" s="51">
        <f>IFERROR(VLOOKUP(AG23,'[1]back office'!$A$23:$B$25,2,FALSE),"-")</f>
        <v>0</v>
      </c>
      <c r="AI23" s="49">
        <v>50</v>
      </c>
      <c r="AJ23" s="49">
        <v>15</v>
      </c>
      <c r="AK23" s="49">
        <f t="shared" ref="AK23:AK48" si="22">AI23</f>
        <v>50</v>
      </c>
      <c r="AL23" s="49">
        <v>15</v>
      </c>
      <c r="AM23" s="51">
        <f>+SUM(AK23:AL23)</f>
        <v>65</v>
      </c>
      <c r="AN23" s="49" t="s">
        <v>64</v>
      </c>
      <c r="AO23" s="51">
        <f>IFERROR(VLOOKUP(AN23,'[1]back office'!$A$36:$B$38,2,FALSE),"-")</f>
        <v>0</v>
      </c>
    </row>
    <row r="24" spans="1:41">
      <c r="A24" s="47" t="s">
        <v>87</v>
      </c>
      <c r="B24" s="50" t="str">
        <f t="shared" si="0"/>
        <v>A</v>
      </c>
      <c r="C24" s="50">
        <f>IF(SUM(P24,W24,AF24,AH24,AM24,AO24)=0,"",SUM(P24,W24,AF24,AH24,AM24,AO24))</f>
        <v>200</v>
      </c>
      <c r="D24" s="49" t="s">
        <v>50</v>
      </c>
      <c r="E24" s="49" t="s">
        <v>73</v>
      </c>
      <c r="F24" s="49" t="s">
        <v>74</v>
      </c>
      <c r="G24" s="49" t="s">
        <v>53</v>
      </c>
      <c r="H24" s="49" t="s">
        <v>54</v>
      </c>
      <c r="I24" s="49" t="s">
        <v>78</v>
      </c>
      <c r="J24" s="50">
        <f>IFERROR(VLOOKUP(D24,'[1]back office'!$A$4:$B$6,2,FALSE),"-")</f>
        <v>25</v>
      </c>
      <c r="K24" s="50">
        <f>IFERROR(VLOOKUP(E24,'[1]back office'!$C$4:$D$6,2,FALSE),"-")</f>
        <v>0</v>
      </c>
      <c r="L24" s="50">
        <f>IFERROR(VLOOKUP(F24,'[1]back office'!$E$4:$F$6,2,FALSE),"-")</f>
        <v>15</v>
      </c>
      <c r="M24" s="50">
        <f>IFERROR(VLOOKUP(G24,'[1]back office'!$G$4:$H$6,2,FALSE),"-")</f>
        <v>15</v>
      </c>
      <c r="N24" s="50">
        <f>IFERROR(VLOOKUP(H24,'[1]back office'!$I$4:$J$6,2,FALSE),"-")</f>
        <v>0</v>
      </c>
      <c r="O24" s="50" t="str">
        <f>IFERROR(VLOOKUP(I24,'[1]back office'!$K$4:$L$6,2,FALSE),"-")</f>
        <v>-</v>
      </c>
      <c r="P24" s="51">
        <f>SUM(J24:O24)</f>
        <v>55</v>
      </c>
      <c r="Q24" s="49" t="s">
        <v>56</v>
      </c>
      <c r="R24" s="49" t="s">
        <v>57</v>
      </c>
      <c r="S24" s="49" t="s">
        <v>58</v>
      </c>
      <c r="T24" s="50">
        <f>IFERROR(VLOOKUP(Q24,'[1]back office'!$A$11:$B$13,2,FALSE),"-")</f>
        <v>35</v>
      </c>
      <c r="U24" s="50">
        <f>IFERROR(VLOOKUP(R24,'[1]back office'!$C$11:$D$13,2,FALSE),"-")</f>
        <v>0</v>
      </c>
      <c r="V24" s="50" t="str">
        <f>IFERROR(VLOOKUP(S24,'[1]back office'!$E$11:$F$13,2,FALSE),"-")</f>
        <v>-</v>
      </c>
      <c r="W24" s="51">
        <f>SUM(T24:V24)</f>
        <v>35</v>
      </c>
      <c r="X24" s="49" t="s">
        <v>70</v>
      </c>
      <c r="Y24" s="49" t="s">
        <v>84</v>
      </c>
      <c r="Z24" s="49" t="s">
        <v>75</v>
      </c>
      <c r="AA24" s="49" t="s">
        <v>62</v>
      </c>
      <c r="AB24" s="50" t="str">
        <f>IFERROR(VLOOKUP(X24,'[1]back office'!$A$17:$B$19,2,FALSE),"-")</f>
        <v>-</v>
      </c>
      <c r="AC24" s="50">
        <f>IFERROR(VLOOKUP(Y24,'[1]back office'!$C$17:$D$19,2,FALSE),"-")</f>
        <v>5</v>
      </c>
      <c r="AD24" s="50">
        <f>IFERROR(VLOOKUP(Z24,'[1]back office'!$E$17:$F$19,2,FALSE),"-")</f>
        <v>20</v>
      </c>
      <c r="AE24" s="50">
        <f>IFERROR(VLOOKUP(AA24,'[1]back office'!$G$17:$H$19,2,FALSE),"-")</f>
        <v>5</v>
      </c>
      <c r="AF24" s="51">
        <f>SUM(AB24:AE24)</f>
        <v>30</v>
      </c>
      <c r="AG24" s="49" t="s">
        <v>63</v>
      </c>
      <c r="AH24" s="51">
        <f>IFERROR(VLOOKUP(AG24,'[1]back office'!$A$23:$B$25,2,FALSE),"-")</f>
        <v>0</v>
      </c>
      <c r="AI24" s="49">
        <v>50</v>
      </c>
      <c r="AJ24" s="49">
        <v>30</v>
      </c>
      <c r="AK24" s="49">
        <f t="shared" si="22"/>
        <v>50</v>
      </c>
      <c r="AL24" s="49">
        <v>30</v>
      </c>
      <c r="AM24" s="51">
        <f>+SUM(AK24:AL24)</f>
        <v>80</v>
      </c>
      <c r="AN24" s="49" t="s">
        <v>64</v>
      </c>
      <c r="AO24" s="51">
        <f>IFERROR(VLOOKUP(AN24,'[1]back office'!$A$36:$B$38,2,FALSE),"-")</f>
        <v>0</v>
      </c>
    </row>
    <row r="25" spans="1:41">
      <c r="A25" s="47" t="s">
        <v>88</v>
      </c>
      <c r="B25" s="50" t="str">
        <f t="shared" si="0"/>
        <v>A</v>
      </c>
      <c r="C25" s="50">
        <f>IF(SUM(P25,W25,AF25,AH25,AM25,AO25)=0,"",SUM(P25,W25,AF25,AH25,AM25,AO25))</f>
        <v>155</v>
      </c>
      <c r="D25" s="49" t="s">
        <v>50</v>
      </c>
      <c r="E25" s="49" t="s">
        <v>73</v>
      </c>
      <c r="F25" s="49" t="s">
        <v>74</v>
      </c>
      <c r="G25" s="49" t="s">
        <v>53</v>
      </c>
      <c r="H25" s="49" t="s">
        <v>54</v>
      </c>
      <c r="I25" s="49" t="s">
        <v>69</v>
      </c>
      <c r="J25" s="50">
        <f>IFERROR(VLOOKUP(D25,'[1]back office'!$A$4:$B$6,2,FALSE),"-")</f>
        <v>25</v>
      </c>
      <c r="K25" s="50">
        <f>IFERROR(VLOOKUP(E25,'[1]back office'!$C$4:$D$6,2,FALSE),"-")</f>
        <v>0</v>
      </c>
      <c r="L25" s="50">
        <f>IFERROR(VLOOKUP(F25,'[1]back office'!$E$4:$F$6,2,FALSE),"-")</f>
        <v>15</v>
      </c>
      <c r="M25" s="50">
        <f>IFERROR(VLOOKUP(G25,'[1]back office'!$G$4:$H$6,2,FALSE),"-")</f>
        <v>15</v>
      </c>
      <c r="N25" s="50">
        <f>IFERROR(VLOOKUP(H25,'[1]back office'!$I$4:$J$6,2,FALSE),"-")</f>
        <v>0</v>
      </c>
      <c r="O25" s="50">
        <f>IFERROR(VLOOKUP(I25,'[1]back office'!$K$4:$L$6,2,FALSE),"-")</f>
        <v>10</v>
      </c>
      <c r="P25" s="51">
        <f>SUM(J25:O25)</f>
        <v>65</v>
      </c>
      <c r="Q25" s="49" t="s">
        <v>54</v>
      </c>
      <c r="R25" s="49" t="s">
        <v>57</v>
      </c>
      <c r="S25" s="49" t="s">
        <v>58</v>
      </c>
      <c r="T25" s="50">
        <f>IFERROR(VLOOKUP(Q25,'[1]back office'!$A$11:$B$13,2,FALSE),"-")</f>
        <v>0</v>
      </c>
      <c r="U25" s="50">
        <f>IFERROR(VLOOKUP(R25,'[1]back office'!$C$11:$D$13,2,FALSE),"-")</f>
        <v>0</v>
      </c>
      <c r="V25" s="50" t="str">
        <f>IFERROR(VLOOKUP(S25,'[1]back office'!$E$11:$F$13,2,FALSE),"-")</f>
        <v>-</v>
      </c>
      <c r="W25" s="51">
        <f>SUM(T25:V25)</f>
        <v>0</v>
      </c>
      <c r="X25" s="49" t="s">
        <v>70</v>
      </c>
      <c r="Y25" s="49" t="s">
        <v>84</v>
      </c>
      <c r="Z25" s="49" t="s">
        <v>75</v>
      </c>
      <c r="AA25" s="49" t="s">
        <v>76</v>
      </c>
      <c r="AB25" s="50" t="str">
        <f>IFERROR(VLOOKUP(X25,'[1]back office'!$A$17:$B$19,2,FALSE),"-")</f>
        <v>-</v>
      </c>
      <c r="AC25" s="50">
        <f>IFERROR(VLOOKUP(Y25,'[1]back office'!$C$17:$D$19,2,FALSE),"-")</f>
        <v>5</v>
      </c>
      <c r="AD25" s="50">
        <f>IFERROR(VLOOKUP(Z25,'[1]back office'!$E$17:$F$19,2,FALSE),"-")</f>
        <v>20</v>
      </c>
      <c r="AE25" s="50">
        <f>IFERROR(VLOOKUP(AA25,'[1]back office'!$G$17:$H$19,2,FALSE),"-")</f>
        <v>0</v>
      </c>
      <c r="AF25" s="51">
        <f>SUM(AB25:AE25)</f>
        <v>25</v>
      </c>
      <c r="AG25" s="49" t="s">
        <v>63</v>
      </c>
      <c r="AH25" s="51">
        <f>IFERROR(VLOOKUP(AG25,'[1]back office'!$A$23:$B$25,2,FALSE),"-")</f>
        <v>0</v>
      </c>
      <c r="AI25" s="49">
        <v>50</v>
      </c>
      <c r="AJ25" s="49">
        <v>15</v>
      </c>
      <c r="AK25" s="49">
        <f t="shared" si="22"/>
        <v>50</v>
      </c>
      <c r="AL25" s="49">
        <v>15</v>
      </c>
      <c r="AM25" s="51">
        <f>+SUM(AK25:AL25)</f>
        <v>65</v>
      </c>
      <c r="AN25" s="49" t="s">
        <v>64</v>
      </c>
      <c r="AO25" s="51">
        <f>IFERROR(VLOOKUP(AN25,'[1]back office'!$A$36:$B$38,2,FALSE),"-")</f>
        <v>0</v>
      </c>
    </row>
    <row r="26" spans="1:41">
      <c r="A26" s="47" t="s">
        <v>89</v>
      </c>
      <c r="B26" s="50" t="str">
        <f t="shared" si="0"/>
        <v>B</v>
      </c>
      <c r="C26" s="50">
        <f t="shared" ref="C26" si="23">IF(SUM(P26,W26,AF26,AH26,AM26,AO26)=0,"",SUM(P26,W26,AF26,AH26,AM26,AO26))</f>
        <v>145</v>
      </c>
      <c r="D26" s="49" t="s">
        <v>50</v>
      </c>
      <c r="E26" s="49" t="s">
        <v>73</v>
      </c>
      <c r="F26" s="49" t="s">
        <v>74</v>
      </c>
      <c r="G26" s="49" t="s">
        <v>53</v>
      </c>
      <c r="H26" s="49" t="s">
        <v>54</v>
      </c>
      <c r="I26" s="49" t="s">
        <v>78</v>
      </c>
      <c r="J26" s="50">
        <f>IFERROR(VLOOKUP(D26,'[1]back office'!$A$4:$B$6,2,FALSE),"-")</f>
        <v>25</v>
      </c>
      <c r="K26" s="50">
        <f>IFERROR(VLOOKUP(E26,'[1]back office'!$C$4:$D$6,2,FALSE),"-")</f>
        <v>0</v>
      </c>
      <c r="L26" s="50">
        <f>IFERROR(VLOOKUP(F26,'[1]back office'!$E$4:$F$6,2,FALSE),"-")</f>
        <v>15</v>
      </c>
      <c r="M26" s="50">
        <f>IFERROR(VLOOKUP(G26,'[1]back office'!$G$4:$H$6,2,FALSE),"-")</f>
        <v>15</v>
      </c>
      <c r="N26" s="50">
        <f>IFERROR(VLOOKUP(H26,'[1]back office'!$I$4:$J$6,2,FALSE),"-")</f>
        <v>0</v>
      </c>
      <c r="O26" s="50" t="str">
        <f>IFERROR(VLOOKUP(I26,'[1]back office'!$K$4:$L$6,2,FALSE),"-")</f>
        <v>-</v>
      </c>
      <c r="P26" s="51">
        <f t="shared" ref="P26" si="24">SUM(J26:O26)</f>
        <v>55</v>
      </c>
      <c r="Q26" s="49" t="s">
        <v>54</v>
      </c>
      <c r="R26" s="49" t="s">
        <v>57</v>
      </c>
      <c r="S26" s="49" t="s">
        <v>58</v>
      </c>
      <c r="T26" s="50">
        <f>IFERROR(VLOOKUP(Q26,'[1]back office'!$A$11:$B$13,2,FALSE),"-")</f>
        <v>0</v>
      </c>
      <c r="U26" s="50">
        <f>IFERROR(VLOOKUP(R26,'[1]back office'!$C$11:$D$13,2,FALSE),"-")</f>
        <v>0</v>
      </c>
      <c r="V26" s="50" t="str">
        <f>IFERROR(VLOOKUP(S26,'[1]back office'!$E$11:$F$13,2,FALSE),"-")</f>
        <v>-</v>
      </c>
      <c r="W26" s="51">
        <f t="shared" ref="W26" si="25">SUM(T26:V26)</f>
        <v>0</v>
      </c>
      <c r="X26" s="49" t="s">
        <v>70</v>
      </c>
      <c r="Y26" s="49" t="s">
        <v>84</v>
      </c>
      <c r="Z26" s="49" t="s">
        <v>75</v>
      </c>
      <c r="AA26" s="49" t="s">
        <v>76</v>
      </c>
      <c r="AB26" s="50" t="str">
        <f>IFERROR(VLOOKUP(X26,'[1]back office'!$A$17:$B$19,2,FALSE),"-")</f>
        <v>-</v>
      </c>
      <c r="AC26" s="50">
        <f>IFERROR(VLOOKUP(Y26,'[1]back office'!$C$17:$D$19,2,FALSE),"-")</f>
        <v>5</v>
      </c>
      <c r="AD26" s="50">
        <f>IFERROR(VLOOKUP(Z26,'[1]back office'!$E$17:$F$19,2,FALSE),"-")</f>
        <v>20</v>
      </c>
      <c r="AE26" s="50">
        <f>IFERROR(VLOOKUP(AA26,'[1]back office'!$G$17:$H$19,2,FALSE),"-")</f>
        <v>0</v>
      </c>
      <c r="AF26" s="51">
        <f t="shared" ref="AF26" si="26">SUM(AB26:AE26)</f>
        <v>25</v>
      </c>
      <c r="AG26" s="49" t="s">
        <v>63</v>
      </c>
      <c r="AH26" s="51">
        <f>IFERROR(VLOOKUP(AG26,'[1]back office'!$A$23:$B$25,2,FALSE),"-")</f>
        <v>0</v>
      </c>
      <c r="AI26" s="49">
        <v>50</v>
      </c>
      <c r="AJ26" s="49">
        <v>15</v>
      </c>
      <c r="AK26" s="49">
        <f t="shared" si="22"/>
        <v>50</v>
      </c>
      <c r="AL26" s="49">
        <v>15</v>
      </c>
      <c r="AM26" s="51">
        <f t="shared" ref="AM26" si="27">+SUM(AK26:AL26)</f>
        <v>65</v>
      </c>
      <c r="AN26" s="49" t="s">
        <v>64</v>
      </c>
      <c r="AO26" s="51">
        <f>IFERROR(VLOOKUP(AN26,'[1]back office'!$A$36:$B$38,2,FALSE),"-")</f>
        <v>0</v>
      </c>
    </row>
    <row r="27" spans="1:41" ht="15" customHeight="1">
      <c r="A27" s="47" t="s">
        <v>90</v>
      </c>
      <c r="B27" s="50" t="str">
        <f t="shared" si="0"/>
        <v>A</v>
      </c>
      <c r="C27" s="50">
        <f t="shared" ref="C27:C39" si="28">IF(SUM(P27,W27,AF27,AH27,AM27,AO27)=0,"",SUM(P27,W27,AF27,AH27,AM27,AO27))</f>
        <v>160</v>
      </c>
      <c r="D27" s="49" t="s">
        <v>50</v>
      </c>
      <c r="E27" s="49" t="s">
        <v>73</v>
      </c>
      <c r="F27" s="49" t="s">
        <v>74</v>
      </c>
      <c r="G27" s="49" t="s">
        <v>53</v>
      </c>
      <c r="H27" s="49" t="s">
        <v>54</v>
      </c>
      <c r="I27" s="49" t="s">
        <v>55</v>
      </c>
      <c r="J27" s="50">
        <f>IFERROR(VLOOKUP(D27,'[1]back office'!$A$4:$B$6,2,FALSE),"-")</f>
        <v>25</v>
      </c>
      <c r="K27" s="50">
        <f>IFERROR(VLOOKUP(E27,'[1]back office'!$C$4:$D$6,2,FALSE),"-")</f>
        <v>0</v>
      </c>
      <c r="L27" s="50">
        <f>IFERROR(VLOOKUP(F27,'[1]back office'!$E$4:$F$6,2,FALSE),"-")</f>
        <v>15</v>
      </c>
      <c r="M27" s="50">
        <f>IFERROR(VLOOKUP(G27,'[1]back office'!$G$4:$H$6,2,FALSE),"-")</f>
        <v>15</v>
      </c>
      <c r="N27" s="50">
        <f>IFERROR(VLOOKUP(H27,'[1]back office'!$I$4:$J$6,2,FALSE),"-")</f>
        <v>0</v>
      </c>
      <c r="O27" s="50">
        <f>IFERROR(VLOOKUP(I27,'[1]back office'!$K$4:$L$6,2,FALSE),"-")</f>
        <v>35</v>
      </c>
      <c r="P27" s="51">
        <f t="shared" ref="P27:P39" si="29">SUM(J27:O27)</f>
        <v>90</v>
      </c>
      <c r="Q27" s="49" t="s">
        <v>54</v>
      </c>
      <c r="R27" s="49" t="s">
        <v>57</v>
      </c>
      <c r="S27" s="49" t="s">
        <v>58</v>
      </c>
      <c r="T27" s="50">
        <f>IFERROR(VLOOKUP(Q27,'[1]back office'!$A$11:$B$13,2,FALSE),"-")</f>
        <v>0</v>
      </c>
      <c r="U27" s="50">
        <f>IFERROR(VLOOKUP(R27,'[1]back office'!$C$11:$D$13,2,FALSE),"-")</f>
        <v>0</v>
      </c>
      <c r="V27" s="50" t="str">
        <f>IFERROR(VLOOKUP(S27,'[1]back office'!$E$11:$F$13,2,FALSE),"-")</f>
        <v>-</v>
      </c>
      <c r="W27" s="51">
        <f t="shared" ref="W27:W39" si="30">SUM(T27:V27)</f>
        <v>0</v>
      </c>
      <c r="X27" s="49" t="s">
        <v>70</v>
      </c>
      <c r="Y27" s="49" t="s">
        <v>84</v>
      </c>
      <c r="Z27" s="49" t="s">
        <v>75</v>
      </c>
      <c r="AA27" s="49" t="s">
        <v>76</v>
      </c>
      <c r="AB27" s="50" t="str">
        <f>IFERROR(VLOOKUP(X27,'[1]back office'!$A$17:$B$19,2,FALSE),"-")</f>
        <v>-</v>
      </c>
      <c r="AC27" s="50">
        <f>IFERROR(VLOOKUP(Y27,'[1]back office'!$C$17:$D$19,2,FALSE),"-")</f>
        <v>5</v>
      </c>
      <c r="AD27" s="50">
        <f>IFERROR(VLOOKUP(Z27,'[1]back office'!$E$17:$F$19,2,FALSE),"-")</f>
        <v>20</v>
      </c>
      <c r="AE27" s="50">
        <f>IFERROR(VLOOKUP(AA27,'[1]back office'!$G$17:$H$19,2,FALSE),"-")</f>
        <v>0</v>
      </c>
      <c r="AF27" s="51">
        <f t="shared" ref="AF27:AF39" si="31">SUM(AB27:AE27)</f>
        <v>25</v>
      </c>
      <c r="AG27" s="49" t="s">
        <v>63</v>
      </c>
      <c r="AH27" s="51">
        <f>IFERROR(VLOOKUP(AG27,'[1]back office'!$A$23:$B$25,2,FALSE),"-")</f>
        <v>0</v>
      </c>
      <c r="AI27" s="49">
        <v>30</v>
      </c>
      <c r="AJ27" s="49">
        <v>15</v>
      </c>
      <c r="AK27" s="49">
        <f t="shared" si="22"/>
        <v>30</v>
      </c>
      <c r="AL27" s="49">
        <v>15</v>
      </c>
      <c r="AM27" s="51">
        <f t="shared" ref="AM27:AM39" si="32">+SUM(AK27:AL27)</f>
        <v>45</v>
      </c>
      <c r="AN27" s="49" t="s">
        <v>64</v>
      </c>
      <c r="AO27" s="51">
        <f>IFERROR(VLOOKUP(AN27,'[1]back office'!$A$36:$B$38,2,FALSE),"-")</f>
        <v>0</v>
      </c>
    </row>
    <row r="28" spans="1:41">
      <c r="A28" s="47" t="s">
        <v>91</v>
      </c>
      <c r="B28" s="50" t="str">
        <f t="shared" si="0"/>
        <v>B</v>
      </c>
      <c r="C28" s="50">
        <f t="shared" si="28"/>
        <v>140</v>
      </c>
      <c r="D28" s="49" t="s">
        <v>50</v>
      </c>
      <c r="E28" s="49" t="s">
        <v>92</v>
      </c>
      <c r="F28" s="49" t="s">
        <v>74</v>
      </c>
      <c r="G28" s="49" t="s">
        <v>53</v>
      </c>
      <c r="H28" s="49" t="s">
        <v>54</v>
      </c>
      <c r="I28" s="49" t="s">
        <v>78</v>
      </c>
      <c r="J28" s="50">
        <f>IFERROR(VLOOKUP(D28,'[1]back office'!$A$4:$B$6,2,FALSE),"-")</f>
        <v>25</v>
      </c>
      <c r="K28" s="50">
        <f>IFERROR(VLOOKUP(E28,'[1]back office'!$C$4:$D$6,2,FALSE),"-")</f>
        <v>15</v>
      </c>
      <c r="L28" s="50">
        <f>IFERROR(VLOOKUP(F28,'[1]back office'!$E$4:$F$6,2,FALSE),"-")</f>
        <v>15</v>
      </c>
      <c r="M28" s="50">
        <f>IFERROR(VLOOKUP(G28,'[1]back office'!$G$4:$H$6,2,FALSE),"-")</f>
        <v>15</v>
      </c>
      <c r="N28" s="50">
        <f>IFERROR(VLOOKUP(H28,'[1]back office'!$I$4:$J$6,2,FALSE),"-")</f>
        <v>0</v>
      </c>
      <c r="O28" s="50" t="str">
        <f>IFERROR(VLOOKUP(I28,'[1]back office'!$K$4:$L$6,2,FALSE),"-")</f>
        <v>-</v>
      </c>
      <c r="P28" s="51">
        <f t="shared" si="29"/>
        <v>70</v>
      </c>
      <c r="Q28" s="49" t="s">
        <v>54</v>
      </c>
      <c r="R28" s="49" t="s">
        <v>57</v>
      </c>
      <c r="S28" s="49" t="s">
        <v>58</v>
      </c>
      <c r="T28" s="50">
        <f>IFERROR(VLOOKUP(Q28,'[1]back office'!$A$11:$B$13,2,FALSE),"-")</f>
        <v>0</v>
      </c>
      <c r="U28" s="50">
        <f>IFERROR(VLOOKUP(R28,'[1]back office'!$C$11:$D$13,2,FALSE),"-")</f>
        <v>0</v>
      </c>
      <c r="V28" s="50" t="str">
        <f>IFERROR(VLOOKUP(S28,'[1]back office'!$E$11:$F$13,2,FALSE),"-")</f>
        <v>-</v>
      </c>
      <c r="W28" s="51">
        <f t="shared" si="30"/>
        <v>0</v>
      </c>
      <c r="X28" s="49" t="s">
        <v>70</v>
      </c>
      <c r="Y28" s="49" t="s">
        <v>84</v>
      </c>
      <c r="Z28" s="49" t="s">
        <v>75</v>
      </c>
      <c r="AA28" s="49" t="s">
        <v>76</v>
      </c>
      <c r="AB28" s="50" t="str">
        <f>IFERROR(VLOOKUP(X28,'[1]back office'!$A$17:$B$19,2,FALSE),"-")</f>
        <v>-</v>
      </c>
      <c r="AC28" s="50">
        <f>IFERROR(VLOOKUP(Y28,'[1]back office'!$C$17:$D$19,2,FALSE),"-")</f>
        <v>5</v>
      </c>
      <c r="AD28" s="50">
        <f>IFERROR(VLOOKUP(Z28,'[1]back office'!$E$17:$F$19,2,FALSE),"-")</f>
        <v>20</v>
      </c>
      <c r="AE28" s="50">
        <f>IFERROR(VLOOKUP(AA28,'[1]back office'!$G$17:$H$19,2,FALSE),"-")</f>
        <v>0</v>
      </c>
      <c r="AF28" s="51">
        <f t="shared" si="31"/>
        <v>25</v>
      </c>
      <c r="AG28" s="49" t="s">
        <v>63</v>
      </c>
      <c r="AH28" s="51">
        <f>IFERROR(VLOOKUP(AG28,'[1]back office'!$A$23:$B$25,2,FALSE),"-")</f>
        <v>0</v>
      </c>
      <c r="AI28" s="49">
        <v>30</v>
      </c>
      <c r="AJ28" s="49">
        <v>15</v>
      </c>
      <c r="AK28" s="49">
        <f t="shared" si="22"/>
        <v>30</v>
      </c>
      <c r="AL28" s="49">
        <v>15</v>
      </c>
      <c r="AM28" s="51">
        <f t="shared" si="32"/>
        <v>45</v>
      </c>
      <c r="AN28" s="49" t="s">
        <v>64</v>
      </c>
      <c r="AO28" s="51">
        <f>IFERROR(VLOOKUP(AN28,'[1]back office'!$A$36:$B$38,2,FALSE),"-")</f>
        <v>0</v>
      </c>
    </row>
    <row r="29" spans="1:41">
      <c r="A29" s="47" t="s">
        <v>93</v>
      </c>
      <c r="B29" s="50" t="str">
        <f t="shared" si="0"/>
        <v>A</v>
      </c>
      <c r="C29" s="50">
        <f t="shared" si="28"/>
        <v>165</v>
      </c>
      <c r="D29" s="49" t="s">
        <v>50</v>
      </c>
      <c r="E29" s="49" t="s">
        <v>73</v>
      </c>
      <c r="F29" s="49" t="s">
        <v>74</v>
      </c>
      <c r="G29" s="49" t="s">
        <v>53</v>
      </c>
      <c r="H29" s="49" t="s">
        <v>54</v>
      </c>
      <c r="I29" s="49" t="s">
        <v>55</v>
      </c>
      <c r="J29" s="50">
        <f>IFERROR(VLOOKUP(D29,'[1]back office'!$A$4:$B$6,2,FALSE),"-")</f>
        <v>25</v>
      </c>
      <c r="K29" s="50">
        <f>IFERROR(VLOOKUP(E29,'[1]back office'!$C$4:$D$6,2,FALSE),"-")</f>
        <v>0</v>
      </c>
      <c r="L29" s="50">
        <f>IFERROR(VLOOKUP(F29,'[1]back office'!$E$4:$F$6,2,FALSE),"-")</f>
        <v>15</v>
      </c>
      <c r="M29" s="50">
        <f>IFERROR(VLOOKUP(G29,'[1]back office'!$G$4:$H$6,2,FALSE),"-")</f>
        <v>15</v>
      </c>
      <c r="N29" s="50">
        <f>IFERROR(VLOOKUP(H29,'[1]back office'!$I$4:$J$6,2,FALSE),"-")</f>
        <v>0</v>
      </c>
      <c r="O29" s="50">
        <f>IFERROR(VLOOKUP(I29,'[1]back office'!$K$4:$L$6,2,FALSE),"-")</f>
        <v>35</v>
      </c>
      <c r="P29" s="51">
        <f t="shared" si="29"/>
        <v>90</v>
      </c>
      <c r="Q29" s="49" t="s">
        <v>54</v>
      </c>
      <c r="R29" s="49" t="s">
        <v>57</v>
      </c>
      <c r="S29" s="49" t="s">
        <v>58</v>
      </c>
      <c r="T29" s="50">
        <f>IFERROR(VLOOKUP(Q29,'[1]back office'!$A$11:$B$13,2,FALSE),"-")</f>
        <v>0</v>
      </c>
      <c r="U29" s="50">
        <f>IFERROR(VLOOKUP(R29,'[1]back office'!$C$11:$D$13,2,FALSE),"-")</f>
        <v>0</v>
      </c>
      <c r="V29" s="50" t="str">
        <f>IFERROR(VLOOKUP(S29,'[1]back office'!$E$11:$F$13,2,FALSE),"-")</f>
        <v>-</v>
      </c>
      <c r="W29" s="51">
        <f t="shared" si="30"/>
        <v>0</v>
      </c>
      <c r="X29" s="49" t="s">
        <v>70</v>
      </c>
      <c r="Y29" s="49" t="s">
        <v>84</v>
      </c>
      <c r="Z29" s="49" t="s">
        <v>75</v>
      </c>
      <c r="AA29" s="49" t="s">
        <v>62</v>
      </c>
      <c r="AB29" s="50" t="str">
        <f>IFERROR(VLOOKUP(X29,'[1]back office'!$A$17:$B$19,2,FALSE),"-")</f>
        <v>-</v>
      </c>
      <c r="AC29" s="50">
        <f>IFERROR(VLOOKUP(Y29,'[1]back office'!$C$17:$D$19,2,FALSE),"-")</f>
        <v>5</v>
      </c>
      <c r="AD29" s="50">
        <f>IFERROR(VLOOKUP(Z29,'[1]back office'!$E$17:$F$19,2,FALSE),"-")</f>
        <v>20</v>
      </c>
      <c r="AE29" s="50">
        <f>IFERROR(VLOOKUP(AA29,'[1]back office'!$G$17:$H$19,2,FALSE),"-")</f>
        <v>5</v>
      </c>
      <c r="AF29" s="51">
        <f t="shared" si="31"/>
        <v>30</v>
      </c>
      <c r="AG29" s="49" t="s">
        <v>63</v>
      </c>
      <c r="AH29" s="51">
        <f>IFERROR(VLOOKUP(AG29,'[1]back office'!$A$23:$B$25,2,FALSE),"-")</f>
        <v>0</v>
      </c>
      <c r="AI29" s="49">
        <v>30</v>
      </c>
      <c r="AJ29" s="49">
        <v>15</v>
      </c>
      <c r="AK29" s="49">
        <f t="shared" si="22"/>
        <v>30</v>
      </c>
      <c r="AL29" s="49">
        <v>15</v>
      </c>
      <c r="AM29" s="51">
        <f t="shared" si="32"/>
        <v>45</v>
      </c>
      <c r="AN29" s="49" t="s">
        <v>64</v>
      </c>
      <c r="AO29" s="51">
        <f>IFERROR(VLOOKUP(AN29,'[1]back office'!$A$36:$B$38,2,FALSE),"-")</f>
        <v>0</v>
      </c>
    </row>
    <row r="30" spans="1:41">
      <c r="A30" s="47" t="s">
        <v>94</v>
      </c>
      <c r="B30" s="50" t="str">
        <f t="shared" si="0"/>
        <v>A</v>
      </c>
      <c r="C30" s="50">
        <f t="shared" si="28"/>
        <v>160</v>
      </c>
      <c r="D30" s="49" t="s">
        <v>50</v>
      </c>
      <c r="E30" s="49" t="s">
        <v>73</v>
      </c>
      <c r="F30" s="49" t="s">
        <v>74</v>
      </c>
      <c r="G30" s="49" t="s">
        <v>53</v>
      </c>
      <c r="H30" s="49" t="s">
        <v>54</v>
      </c>
      <c r="I30" s="49" t="s">
        <v>55</v>
      </c>
      <c r="J30" s="50">
        <f>IFERROR(VLOOKUP(D30,'[1]back office'!$A$4:$B$6,2,FALSE),"-")</f>
        <v>25</v>
      </c>
      <c r="K30" s="50">
        <f>IFERROR(VLOOKUP(E30,'[1]back office'!$C$4:$D$6,2,FALSE),"-")</f>
        <v>0</v>
      </c>
      <c r="L30" s="50">
        <f>IFERROR(VLOOKUP(F30,'[1]back office'!$E$4:$F$6,2,FALSE),"-")</f>
        <v>15</v>
      </c>
      <c r="M30" s="50">
        <f>IFERROR(VLOOKUP(G30,'[1]back office'!$G$4:$H$6,2,FALSE),"-")</f>
        <v>15</v>
      </c>
      <c r="N30" s="50">
        <f>IFERROR(VLOOKUP(H30,'[1]back office'!$I$4:$J$6,2,FALSE),"-")</f>
        <v>0</v>
      </c>
      <c r="O30" s="50">
        <f>IFERROR(VLOOKUP(I30,'[1]back office'!$K$4:$L$6,2,FALSE),"-")</f>
        <v>35</v>
      </c>
      <c r="P30" s="51">
        <f t="shared" si="29"/>
        <v>90</v>
      </c>
      <c r="Q30" s="49" t="s">
        <v>54</v>
      </c>
      <c r="R30" s="49" t="s">
        <v>57</v>
      </c>
      <c r="S30" s="49" t="s">
        <v>58</v>
      </c>
      <c r="T30" s="50">
        <f>IFERROR(VLOOKUP(Q30,'[1]back office'!$A$11:$B$13,2,FALSE),"-")</f>
        <v>0</v>
      </c>
      <c r="U30" s="50">
        <f>IFERROR(VLOOKUP(R30,'[1]back office'!$C$11:$D$13,2,FALSE),"-")</f>
        <v>0</v>
      </c>
      <c r="V30" s="50" t="str">
        <f>IFERROR(VLOOKUP(S30,'[1]back office'!$E$11:$F$13,2,FALSE),"-")</f>
        <v>-</v>
      </c>
      <c r="W30" s="51">
        <f t="shared" si="30"/>
        <v>0</v>
      </c>
      <c r="X30" s="49" t="s">
        <v>70</v>
      </c>
      <c r="Y30" s="49" t="s">
        <v>84</v>
      </c>
      <c r="Z30" s="49" t="s">
        <v>75</v>
      </c>
      <c r="AA30" s="49" t="s">
        <v>76</v>
      </c>
      <c r="AB30" s="50" t="str">
        <f>IFERROR(VLOOKUP(X30,'[1]back office'!$A$17:$B$19,2,FALSE),"-")</f>
        <v>-</v>
      </c>
      <c r="AC30" s="50">
        <f>IFERROR(VLOOKUP(Y30,'[1]back office'!$C$17:$D$19,2,FALSE),"-")</f>
        <v>5</v>
      </c>
      <c r="AD30" s="50">
        <f>IFERROR(VLOOKUP(Z30,'[1]back office'!$E$17:$F$19,2,FALSE),"-")</f>
        <v>20</v>
      </c>
      <c r="AE30" s="50">
        <f>IFERROR(VLOOKUP(AA30,'[1]back office'!$G$17:$H$19,2,FALSE),"-")</f>
        <v>0</v>
      </c>
      <c r="AF30" s="51">
        <f t="shared" si="31"/>
        <v>25</v>
      </c>
      <c r="AG30" s="49" t="s">
        <v>63</v>
      </c>
      <c r="AH30" s="51">
        <f>IFERROR(VLOOKUP(AG30,'[1]back office'!$A$23:$B$25,2,FALSE),"-")</f>
        <v>0</v>
      </c>
      <c r="AI30" s="49">
        <v>30</v>
      </c>
      <c r="AJ30" s="49">
        <v>15</v>
      </c>
      <c r="AK30" s="49">
        <f t="shared" si="22"/>
        <v>30</v>
      </c>
      <c r="AL30" s="49">
        <v>15</v>
      </c>
      <c r="AM30" s="51">
        <f t="shared" si="32"/>
        <v>45</v>
      </c>
      <c r="AN30" s="49" t="s">
        <v>64</v>
      </c>
      <c r="AO30" s="51">
        <f>IFERROR(VLOOKUP(AN30,'[1]back office'!$A$36:$B$38,2,FALSE),"-")</f>
        <v>0</v>
      </c>
    </row>
    <row r="31" spans="1:41">
      <c r="A31" s="47" t="s">
        <v>95</v>
      </c>
      <c r="B31" s="50" t="str">
        <f t="shared" si="0"/>
        <v>A</v>
      </c>
      <c r="C31" s="50">
        <f t="shared" si="28"/>
        <v>180</v>
      </c>
      <c r="D31" s="49" t="s">
        <v>50</v>
      </c>
      <c r="E31" s="49" t="s">
        <v>73</v>
      </c>
      <c r="F31" s="49" t="s">
        <v>74</v>
      </c>
      <c r="G31" s="49" t="s">
        <v>53</v>
      </c>
      <c r="H31" s="49" t="s">
        <v>54</v>
      </c>
      <c r="I31" s="49" t="s">
        <v>55</v>
      </c>
      <c r="J31" s="50">
        <f>IFERROR(VLOOKUP(D31,'[1]back office'!$A$4:$B$6,2,FALSE),"-")</f>
        <v>25</v>
      </c>
      <c r="K31" s="50">
        <f>IFERROR(VLOOKUP(E31,'[1]back office'!$C$4:$D$6,2,FALSE),"-")</f>
        <v>0</v>
      </c>
      <c r="L31" s="50">
        <f>IFERROR(VLOOKUP(F31,'[1]back office'!$E$4:$F$6,2,FALSE),"-")</f>
        <v>15</v>
      </c>
      <c r="M31" s="50">
        <f>IFERROR(VLOOKUP(G31,'[1]back office'!$G$4:$H$6,2,FALSE),"-")</f>
        <v>15</v>
      </c>
      <c r="N31" s="50">
        <f>IFERROR(VLOOKUP(H31,'[1]back office'!$I$4:$J$6,2,FALSE),"-")</f>
        <v>0</v>
      </c>
      <c r="O31" s="50">
        <f>IFERROR(VLOOKUP(I31,'[1]back office'!$K$4:$L$6,2,FALSE),"-")</f>
        <v>35</v>
      </c>
      <c r="P31" s="51">
        <f t="shared" si="29"/>
        <v>90</v>
      </c>
      <c r="Q31" s="49" t="s">
        <v>54</v>
      </c>
      <c r="R31" s="49" t="s">
        <v>57</v>
      </c>
      <c r="S31" s="49" t="s">
        <v>58</v>
      </c>
      <c r="T31" s="50">
        <f>IFERROR(VLOOKUP(Q31,'[1]back office'!$A$11:$B$13,2,FALSE),"-")</f>
        <v>0</v>
      </c>
      <c r="U31" s="50">
        <f>IFERROR(VLOOKUP(R31,'[1]back office'!$C$11:$D$13,2,FALSE),"-")</f>
        <v>0</v>
      </c>
      <c r="V31" s="50" t="str">
        <f>IFERROR(VLOOKUP(S31,'[1]back office'!$E$11:$F$13,2,FALSE),"-")</f>
        <v>-</v>
      </c>
      <c r="W31" s="51">
        <f t="shared" si="30"/>
        <v>0</v>
      </c>
      <c r="X31" s="49" t="s">
        <v>70</v>
      </c>
      <c r="Y31" s="49" t="s">
        <v>84</v>
      </c>
      <c r="Z31" s="49" t="s">
        <v>75</v>
      </c>
      <c r="AA31" s="49" t="s">
        <v>62</v>
      </c>
      <c r="AB31" s="50" t="str">
        <f>IFERROR(VLOOKUP(X31,'[1]back office'!$A$17:$B$19,2,FALSE),"-")</f>
        <v>-</v>
      </c>
      <c r="AC31" s="50">
        <f>IFERROR(VLOOKUP(Y31,'[1]back office'!$C$17:$D$19,2,FALSE),"-")</f>
        <v>5</v>
      </c>
      <c r="AD31" s="50">
        <f>IFERROR(VLOOKUP(Z31,'[1]back office'!$E$17:$F$19,2,FALSE),"-")</f>
        <v>20</v>
      </c>
      <c r="AE31" s="50">
        <f>IFERROR(VLOOKUP(AA31,'[1]back office'!$G$17:$H$19,2,FALSE),"-")</f>
        <v>5</v>
      </c>
      <c r="AF31" s="51">
        <f t="shared" si="31"/>
        <v>30</v>
      </c>
      <c r="AG31" s="49" t="s">
        <v>63</v>
      </c>
      <c r="AH31" s="51">
        <f>IFERROR(VLOOKUP(AG31,'[1]back office'!$A$23:$B$25,2,FALSE),"-")</f>
        <v>0</v>
      </c>
      <c r="AI31" s="49">
        <v>30</v>
      </c>
      <c r="AJ31" s="49">
        <v>30</v>
      </c>
      <c r="AK31" s="49">
        <f t="shared" si="22"/>
        <v>30</v>
      </c>
      <c r="AL31" s="49">
        <v>30</v>
      </c>
      <c r="AM31" s="51">
        <f t="shared" si="32"/>
        <v>60</v>
      </c>
      <c r="AN31" s="49" t="s">
        <v>64</v>
      </c>
      <c r="AO31" s="51">
        <f>IFERROR(VLOOKUP(AN31,'[1]back office'!$A$36:$B$38,2,FALSE),"-")</f>
        <v>0</v>
      </c>
    </row>
    <row r="32" spans="1:41">
      <c r="A32" s="47" t="s">
        <v>96</v>
      </c>
      <c r="B32" s="50" t="str">
        <f t="shared" si="0"/>
        <v>A</v>
      </c>
      <c r="C32" s="50">
        <f t="shared" si="28"/>
        <v>185</v>
      </c>
      <c r="D32" s="49" t="s">
        <v>50</v>
      </c>
      <c r="E32" s="49" t="s">
        <v>73</v>
      </c>
      <c r="F32" s="49" t="s">
        <v>74</v>
      </c>
      <c r="G32" s="49" t="s">
        <v>53</v>
      </c>
      <c r="H32" s="49" t="s">
        <v>54</v>
      </c>
      <c r="I32" s="49" t="s">
        <v>55</v>
      </c>
      <c r="J32" s="50">
        <f>IFERROR(VLOOKUP(D32,'[1]back office'!$A$4:$B$6,2,FALSE),"-")</f>
        <v>25</v>
      </c>
      <c r="K32" s="50">
        <f>IFERROR(VLOOKUP(E32,'[1]back office'!$C$4:$D$6,2,FALSE),"-")</f>
        <v>0</v>
      </c>
      <c r="L32" s="50">
        <f>IFERROR(VLOOKUP(F32,'[1]back office'!$E$4:$F$6,2,FALSE),"-")</f>
        <v>15</v>
      </c>
      <c r="M32" s="50">
        <f>IFERROR(VLOOKUP(G32,'[1]back office'!$G$4:$H$6,2,FALSE),"-")</f>
        <v>15</v>
      </c>
      <c r="N32" s="50">
        <f>IFERROR(VLOOKUP(H32,'[1]back office'!$I$4:$J$6,2,FALSE),"-")</f>
        <v>0</v>
      </c>
      <c r="O32" s="50">
        <f>IFERROR(VLOOKUP(I32,'[1]back office'!$K$4:$L$6,2,FALSE),"-")</f>
        <v>35</v>
      </c>
      <c r="P32" s="51">
        <f t="shared" si="29"/>
        <v>90</v>
      </c>
      <c r="Q32" s="49" t="s">
        <v>54</v>
      </c>
      <c r="R32" s="49" t="s">
        <v>57</v>
      </c>
      <c r="S32" s="49" t="s">
        <v>58</v>
      </c>
      <c r="T32" s="50">
        <f>IFERROR(VLOOKUP(Q32,'[1]back office'!$A$11:$B$13,2,FALSE),"-")</f>
        <v>0</v>
      </c>
      <c r="U32" s="50">
        <f>IFERROR(VLOOKUP(R32,'[1]back office'!$C$11:$D$13,2,FALSE),"-")</f>
        <v>0</v>
      </c>
      <c r="V32" s="50" t="str">
        <f>IFERROR(VLOOKUP(S32,'[1]back office'!$E$11:$F$13,2,FALSE),"-")</f>
        <v>-</v>
      </c>
      <c r="W32" s="51">
        <f t="shared" si="30"/>
        <v>0</v>
      </c>
      <c r="X32" s="49" t="s">
        <v>70</v>
      </c>
      <c r="Y32" s="49" t="s">
        <v>84</v>
      </c>
      <c r="Z32" s="49" t="s">
        <v>75</v>
      </c>
      <c r="AA32" s="49" t="s">
        <v>62</v>
      </c>
      <c r="AB32" s="50" t="str">
        <f>IFERROR(VLOOKUP(X32,'[1]back office'!$A$17:$B$19,2,FALSE),"-")</f>
        <v>-</v>
      </c>
      <c r="AC32" s="50">
        <f>IFERROR(VLOOKUP(Y32,'[1]back office'!$C$17:$D$19,2,FALSE),"-")</f>
        <v>5</v>
      </c>
      <c r="AD32" s="50">
        <f>IFERROR(VLOOKUP(Z32,'[1]back office'!$E$17:$F$19,2,FALSE),"-")</f>
        <v>20</v>
      </c>
      <c r="AE32" s="50">
        <f>IFERROR(VLOOKUP(AA32,'[1]back office'!$G$17:$H$19,2,FALSE),"-")</f>
        <v>5</v>
      </c>
      <c r="AF32" s="51">
        <f t="shared" si="31"/>
        <v>30</v>
      </c>
      <c r="AG32" s="49" t="s">
        <v>63</v>
      </c>
      <c r="AH32" s="51">
        <f>IFERROR(VLOOKUP(AG32,'[1]back office'!$A$23:$B$25,2,FALSE),"-")</f>
        <v>0</v>
      </c>
      <c r="AI32" s="49">
        <v>50</v>
      </c>
      <c r="AJ32" s="49">
        <v>15</v>
      </c>
      <c r="AK32" s="49">
        <f t="shared" si="22"/>
        <v>50</v>
      </c>
      <c r="AL32" s="49">
        <v>15</v>
      </c>
      <c r="AM32" s="51">
        <f t="shared" si="32"/>
        <v>65</v>
      </c>
      <c r="AN32" s="49" t="s">
        <v>64</v>
      </c>
      <c r="AO32" s="51">
        <f>IFERROR(VLOOKUP(AN32,'[1]back office'!$A$36:$B$38,2,FALSE),"-")</f>
        <v>0</v>
      </c>
    </row>
    <row r="33" spans="1:41" ht="15" customHeight="1">
      <c r="A33" s="47" t="s">
        <v>97</v>
      </c>
      <c r="B33" s="50" t="str">
        <f t="shared" si="0"/>
        <v>A</v>
      </c>
      <c r="C33" s="50">
        <f t="shared" si="28"/>
        <v>165</v>
      </c>
      <c r="D33" s="49" t="s">
        <v>50</v>
      </c>
      <c r="E33" s="49" t="s">
        <v>73</v>
      </c>
      <c r="F33" s="49" t="s">
        <v>74</v>
      </c>
      <c r="G33" s="49" t="s">
        <v>53</v>
      </c>
      <c r="H33" s="49" t="s">
        <v>54</v>
      </c>
      <c r="I33" s="49" t="s">
        <v>55</v>
      </c>
      <c r="J33" s="50">
        <f>IFERROR(VLOOKUP(D33,'[1]back office'!$A$4:$B$6,2,FALSE),"-")</f>
        <v>25</v>
      </c>
      <c r="K33" s="50">
        <f>IFERROR(VLOOKUP(E33,'[1]back office'!$C$4:$D$6,2,FALSE),"-")</f>
        <v>0</v>
      </c>
      <c r="L33" s="50">
        <f>IFERROR(VLOOKUP(F33,'[1]back office'!$E$4:$F$6,2,FALSE),"-")</f>
        <v>15</v>
      </c>
      <c r="M33" s="50">
        <f>IFERROR(VLOOKUP(G33,'[1]back office'!$G$4:$H$6,2,FALSE),"-")</f>
        <v>15</v>
      </c>
      <c r="N33" s="50">
        <f>IFERROR(VLOOKUP(H33,'[1]back office'!$I$4:$J$6,2,FALSE),"-")</f>
        <v>0</v>
      </c>
      <c r="O33" s="50">
        <f>IFERROR(VLOOKUP(I33,'[1]back office'!$K$4:$L$6,2,FALSE),"-")</f>
        <v>35</v>
      </c>
      <c r="P33" s="51">
        <f t="shared" si="29"/>
        <v>90</v>
      </c>
      <c r="Q33" s="49" t="s">
        <v>54</v>
      </c>
      <c r="R33" s="49" t="s">
        <v>57</v>
      </c>
      <c r="S33" s="49" t="s">
        <v>58</v>
      </c>
      <c r="T33" s="50">
        <f>IFERROR(VLOOKUP(Q33,'[1]back office'!$A$11:$B$13,2,FALSE),"-")</f>
        <v>0</v>
      </c>
      <c r="U33" s="50">
        <f>IFERROR(VLOOKUP(R33,'[1]back office'!$C$11:$D$13,2,FALSE),"-")</f>
        <v>0</v>
      </c>
      <c r="V33" s="50" t="str">
        <f>IFERROR(VLOOKUP(S33,'[1]back office'!$E$11:$F$13,2,FALSE),"-")</f>
        <v>-</v>
      </c>
      <c r="W33" s="51">
        <f t="shared" si="30"/>
        <v>0</v>
      </c>
      <c r="X33" s="49" t="s">
        <v>70</v>
      </c>
      <c r="Y33" s="49" t="s">
        <v>84</v>
      </c>
      <c r="Z33" s="49" t="s">
        <v>75</v>
      </c>
      <c r="AA33" s="49" t="s">
        <v>62</v>
      </c>
      <c r="AB33" s="50" t="str">
        <f>IFERROR(VLOOKUP(X33,'[1]back office'!$A$17:$B$19,2,FALSE),"-")</f>
        <v>-</v>
      </c>
      <c r="AC33" s="50">
        <f>IFERROR(VLOOKUP(Y33,'[1]back office'!$C$17:$D$19,2,FALSE),"-")</f>
        <v>5</v>
      </c>
      <c r="AD33" s="50">
        <f>IFERROR(VLOOKUP(Z33,'[1]back office'!$E$17:$F$19,2,FALSE),"-")</f>
        <v>20</v>
      </c>
      <c r="AE33" s="50">
        <f>IFERROR(VLOOKUP(AA33,'[1]back office'!$G$17:$H$19,2,FALSE),"-")</f>
        <v>5</v>
      </c>
      <c r="AF33" s="51">
        <f t="shared" si="31"/>
        <v>30</v>
      </c>
      <c r="AG33" s="49" t="s">
        <v>63</v>
      </c>
      <c r="AH33" s="51">
        <f>IFERROR(VLOOKUP(AG33,'[1]back office'!$A$23:$B$25,2,FALSE),"-")</f>
        <v>0</v>
      </c>
      <c r="AI33" s="49">
        <v>30</v>
      </c>
      <c r="AJ33" s="49">
        <v>15</v>
      </c>
      <c r="AK33" s="49">
        <f t="shared" si="22"/>
        <v>30</v>
      </c>
      <c r="AL33" s="49">
        <v>15</v>
      </c>
      <c r="AM33" s="51">
        <f t="shared" si="32"/>
        <v>45</v>
      </c>
      <c r="AN33" s="49" t="s">
        <v>64</v>
      </c>
      <c r="AO33" s="51">
        <f>IFERROR(VLOOKUP(AN33,'[1]back office'!$A$36:$B$38,2,FALSE),"-")</f>
        <v>0</v>
      </c>
    </row>
    <row r="34" spans="1:41">
      <c r="A34" s="47" t="s">
        <v>98</v>
      </c>
      <c r="B34" s="50" t="str">
        <f t="shared" si="0"/>
        <v>A</v>
      </c>
      <c r="C34" s="50">
        <f t="shared" si="28"/>
        <v>190</v>
      </c>
      <c r="D34" s="49" t="s">
        <v>50</v>
      </c>
      <c r="E34" s="49" t="s">
        <v>92</v>
      </c>
      <c r="F34" s="49" t="s">
        <v>74</v>
      </c>
      <c r="G34" s="49" t="s">
        <v>53</v>
      </c>
      <c r="H34" s="49" t="s">
        <v>54</v>
      </c>
      <c r="I34" s="49" t="s">
        <v>55</v>
      </c>
      <c r="J34" s="50">
        <f>IFERROR(VLOOKUP(D34,'[1]back office'!$A$4:$B$6,2,FALSE),"-")</f>
        <v>25</v>
      </c>
      <c r="K34" s="50">
        <f>IFERROR(VLOOKUP(E34,'[1]back office'!$C$4:$D$6,2,FALSE),"-")</f>
        <v>15</v>
      </c>
      <c r="L34" s="50">
        <f>IFERROR(VLOOKUP(F34,'[1]back office'!$E$4:$F$6,2,FALSE),"-")</f>
        <v>15</v>
      </c>
      <c r="M34" s="50">
        <f>IFERROR(VLOOKUP(G34,'[1]back office'!$G$4:$H$6,2,FALSE),"-")</f>
        <v>15</v>
      </c>
      <c r="N34" s="50">
        <f>IFERROR(VLOOKUP(H34,'[1]back office'!$I$4:$J$6,2,FALSE),"-")</f>
        <v>0</v>
      </c>
      <c r="O34" s="50">
        <f>IFERROR(VLOOKUP(I34,'[1]back office'!$K$4:$L$6,2,FALSE),"-")</f>
        <v>35</v>
      </c>
      <c r="P34" s="51">
        <f t="shared" si="29"/>
        <v>105</v>
      </c>
      <c r="Q34" s="49" t="s">
        <v>54</v>
      </c>
      <c r="R34" s="49" t="s">
        <v>57</v>
      </c>
      <c r="S34" s="49" t="s">
        <v>58</v>
      </c>
      <c r="T34" s="50">
        <f>IFERROR(VLOOKUP(Q34,'[1]back office'!$A$11:$B$13,2,FALSE),"-")</f>
        <v>0</v>
      </c>
      <c r="U34" s="50">
        <f>IFERROR(VLOOKUP(R34,'[1]back office'!$C$11:$D$13,2,FALSE),"-")</f>
        <v>0</v>
      </c>
      <c r="V34" s="50" t="str">
        <f>IFERROR(VLOOKUP(S34,'[1]back office'!$E$11:$F$13,2,FALSE),"-")</f>
        <v>-</v>
      </c>
      <c r="W34" s="51">
        <f t="shared" si="30"/>
        <v>0</v>
      </c>
      <c r="X34" s="49" t="s">
        <v>70</v>
      </c>
      <c r="Y34" s="49" t="s">
        <v>84</v>
      </c>
      <c r="Z34" s="49" t="s">
        <v>75</v>
      </c>
      <c r="AA34" s="49" t="s">
        <v>76</v>
      </c>
      <c r="AB34" s="50" t="str">
        <f>IFERROR(VLOOKUP(X34,'[1]back office'!$A$17:$B$19,2,FALSE),"-")</f>
        <v>-</v>
      </c>
      <c r="AC34" s="50">
        <f>IFERROR(VLOOKUP(Y34,'[1]back office'!$C$17:$D$19,2,FALSE),"-")</f>
        <v>5</v>
      </c>
      <c r="AD34" s="50">
        <f>IFERROR(VLOOKUP(Z34,'[1]back office'!$E$17:$F$19,2,FALSE),"-")</f>
        <v>20</v>
      </c>
      <c r="AE34" s="50">
        <f>IFERROR(VLOOKUP(AA34,'[1]back office'!$G$17:$H$19,2,FALSE),"-")</f>
        <v>0</v>
      </c>
      <c r="AF34" s="51">
        <f t="shared" si="31"/>
        <v>25</v>
      </c>
      <c r="AG34" s="49" t="s">
        <v>63</v>
      </c>
      <c r="AH34" s="51">
        <f>IFERROR(VLOOKUP(AG34,'[1]back office'!$A$23:$B$25,2,FALSE),"-")</f>
        <v>0</v>
      </c>
      <c r="AI34" s="49">
        <v>30</v>
      </c>
      <c r="AJ34" s="49">
        <v>30</v>
      </c>
      <c r="AK34" s="49">
        <f t="shared" si="22"/>
        <v>30</v>
      </c>
      <c r="AL34" s="49">
        <v>30</v>
      </c>
      <c r="AM34" s="51">
        <f t="shared" si="32"/>
        <v>60</v>
      </c>
      <c r="AN34" s="49" t="s">
        <v>64</v>
      </c>
      <c r="AO34" s="51">
        <f>IFERROR(VLOOKUP(AN34,'[1]back office'!$A$36:$B$38,2,FALSE),"-")</f>
        <v>0</v>
      </c>
    </row>
    <row r="35" spans="1:41">
      <c r="A35" s="47" t="s">
        <v>99</v>
      </c>
      <c r="B35" s="50" t="str">
        <f t="shared" si="0"/>
        <v>A</v>
      </c>
      <c r="C35" s="50">
        <f t="shared" si="28"/>
        <v>195</v>
      </c>
      <c r="D35" s="49" t="s">
        <v>50</v>
      </c>
      <c r="E35" s="49" t="s">
        <v>73</v>
      </c>
      <c r="F35" s="49" t="s">
        <v>74</v>
      </c>
      <c r="G35" s="49" t="s">
        <v>53</v>
      </c>
      <c r="H35" s="49" t="s">
        <v>54</v>
      </c>
      <c r="I35" s="49" t="s">
        <v>55</v>
      </c>
      <c r="J35" s="50">
        <f>IFERROR(VLOOKUP(D35,'[1]back office'!$A$4:$B$6,2,FALSE),"-")</f>
        <v>25</v>
      </c>
      <c r="K35" s="50">
        <f>IFERROR(VLOOKUP(E35,'[1]back office'!$C$4:$D$6,2,FALSE),"-")</f>
        <v>0</v>
      </c>
      <c r="L35" s="50">
        <f>IFERROR(VLOOKUP(F35,'[1]back office'!$E$4:$F$6,2,FALSE),"-")</f>
        <v>15</v>
      </c>
      <c r="M35" s="50">
        <f>IFERROR(VLOOKUP(G35,'[1]back office'!$G$4:$H$6,2,FALSE),"-")</f>
        <v>15</v>
      </c>
      <c r="N35" s="50">
        <f>IFERROR(VLOOKUP(H35,'[1]back office'!$I$4:$J$6,2,FALSE),"-")</f>
        <v>0</v>
      </c>
      <c r="O35" s="50">
        <f>IFERROR(VLOOKUP(I35,'[1]back office'!$K$4:$L$6,2,FALSE),"-")</f>
        <v>35</v>
      </c>
      <c r="P35" s="51">
        <f t="shared" si="29"/>
        <v>90</v>
      </c>
      <c r="Q35" s="49" t="s">
        <v>56</v>
      </c>
      <c r="R35" s="49" t="s">
        <v>57</v>
      </c>
      <c r="S35" s="49" t="s">
        <v>58</v>
      </c>
      <c r="T35" s="50">
        <f>IFERROR(VLOOKUP(Q35,'[1]back office'!$A$11:$B$13,2,FALSE),"-")</f>
        <v>35</v>
      </c>
      <c r="U35" s="50">
        <f>IFERROR(VLOOKUP(R35,'[1]back office'!$C$11:$D$13,2,FALSE),"-")</f>
        <v>0</v>
      </c>
      <c r="V35" s="50" t="str">
        <f>IFERROR(VLOOKUP(S35,'[1]back office'!$E$11:$F$13,2,FALSE),"-")</f>
        <v>-</v>
      </c>
      <c r="W35" s="51">
        <f t="shared" si="30"/>
        <v>35</v>
      </c>
      <c r="X35" s="49" t="s">
        <v>70</v>
      </c>
      <c r="Y35" s="49" t="s">
        <v>84</v>
      </c>
      <c r="Z35" s="49" t="s">
        <v>75</v>
      </c>
      <c r="AA35" s="49" t="s">
        <v>76</v>
      </c>
      <c r="AB35" s="50" t="str">
        <f>IFERROR(VLOOKUP(X35,'[1]back office'!$A$17:$B$19,2,FALSE),"-")</f>
        <v>-</v>
      </c>
      <c r="AC35" s="50">
        <f>IFERROR(VLOOKUP(Y35,'[1]back office'!$C$17:$D$19,2,FALSE),"-")</f>
        <v>5</v>
      </c>
      <c r="AD35" s="50">
        <f>IFERROR(VLOOKUP(Z35,'[1]back office'!$E$17:$F$19,2,FALSE),"-")</f>
        <v>20</v>
      </c>
      <c r="AE35" s="50">
        <f>IFERROR(VLOOKUP(AA35,'[1]back office'!$G$17:$H$19,2,FALSE),"-")</f>
        <v>0</v>
      </c>
      <c r="AF35" s="51">
        <f t="shared" si="31"/>
        <v>25</v>
      </c>
      <c r="AG35" s="49" t="s">
        <v>63</v>
      </c>
      <c r="AH35" s="51">
        <f>IFERROR(VLOOKUP(AG35,'[1]back office'!$A$23:$B$25,2,FALSE),"-")</f>
        <v>0</v>
      </c>
      <c r="AI35" s="49">
        <v>30</v>
      </c>
      <c r="AJ35" s="49">
        <v>15</v>
      </c>
      <c r="AK35" s="49">
        <f t="shared" si="22"/>
        <v>30</v>
      </c>
      <c r="AL35" s="49">
        <v>15</v>
      </c>
      <c r="AM35" s="51">
        <f t="shared" si="32"/>
        <v>45</v>
      </c>
      <c r="AN35" s="49" t="s">
        <v>64</v>
      </c>
      <c r="AO35" s="51">
        <f>IFERROR(VLOOKUP(AN35,'[1]back office'!$A$36:$B$38,2,FALSE),"-")</f>
        <v>0</v>
      </c>
    </row>
    <row r="36" spans="1:41">
      <c r="A36" s="47" t="s">
        <v>100</v>
      </c>
      <c r="B36" s="50" t="str">
        <f t="shared" si="0"/>
        <v>A</v>
      </c>
      <c r="C36" s="50">
        <f t="shared" si="28"/>
        <v>180</v>
      </c>
      <c r="D36" s="49" t="s">
        <v>50</v>
      </c>
      <c r="E36" s="49" t="s">
        <v>73</v>
      </c>
      <c r="F36" s="49" t="s">
        <v>74</v>
      </c>
      <c r="G36" s="49" t="s">
        <v>53</v>
      </c>
      <c r="H36" s="49" t="s">
        <v>54</v>
      </c>
      <c r="I36" s="49" t="s">
        <v>55</v>
      </c>
      <c r="J36" s="50">
        <f>IFERROR(VLOOKUP(D36,'[1]back office'!$A$4:$B$6,2,FALSE),"-")</f>
        <v>25</v>
      </c>
      <c r="K36" s="50">
        <f>IFERROR(VLOOKUP(E36,'[1]back office'!$C$4:$D$6,2,FALSE),"-")</f>
        <v>0</v>
      </c>
      <c r="L36" s="50">
        <f>IFERROR(VLOOKUP(F36,'[1]back office'!$E$4:$F$6,2,FALSE),"-")</f>
        <v>15</v>
      </c>
      <c r="M36" s="50">
        <f>IFERROR(VLOOKUP(G36,'[1]back office'!$G$4:$H$6,2,FALSE),"-")</f>
        <v>15</v>
      </c>
      <c r="N36" s="50">
        <f>IFERROR(VLOOKUP(H36,'[1]back office'!$I$4:$J$6,2,FALSE),"-")</f>
        <v>0</v>
      </c>
      <c r="O36" s="50">
        <f>IFERROR(VLOOKUP(I36,'[1]back office'!$K$4:$L$6,2,FALSE),"-")</f>
        <v>35</v>
      </c>
      <c r="P36" s="51">
        <f t="shared" si="29"/>
        <v>90</v>
      </c>
      <c r="Q36" s="49" t="s">
        <v>54</v>
      </c>
      <c r="R36" s="49" t="s">
        <v>57</v>
      </c>
      <c r="S36" s="49" t="s">
        <v>58</v>
      </c>
      <c r="T36" s="50">
        <f>IFERROR(VLOOKUP(Q36,'[1]back office'!$A$11:$B$13,2,FALSE),"-")</f>
        <v>0</v>
      </c>
      <c r="U36" s="50">
        <f>IFERROR(VLOOKUP(R36,'[1]back office'!$C$11:$D$13,2,FALSE),"-")</f>
        <v>0</v>
      </c>
      <c r="V36" s="50" t="str">
        <f>IFERROR(VLOOKUP(S36,'[1]back office'!$E$11:$F$13,2,FALSE),"-")</f>
        <v>-</v>
      </c>
      <c r="W36" s="51">
        <f t="shared" si="30"/>
        <v>0</v>
      </c>
      <c r="X36" s="49" t="s">
        <v>70</v>
      </c>
      <c r="Y36" s="49" t="s">
        <v>84</v>
      </c>
      <c r="Z36" s="49" t="s">
        <v>75</v>
      </c>
      <c r="AA36" s="49" t="s">
        <v>76</v>
      </c>
      <c r="AB36" s="50" t="str">
        <f>IFERROR(VLOOKUP(X36,'[1]back office'!$A$17:$B$19,2,FALSE),"-")</f>
        <v>-</v>
      </c>
      <c r="AC36" s="50">
        <f>IFERROR(VLOOKUP(Y36,'[1]back office'!$C$17:$D$19,2,FALSE),"-")</f>
        <v>5</v>
      </c>
      <c r="AD36" s="50">
        <f>IFERROR(VLOOKUP(Z36,'[1]back office'!$E$17:$F$19,2,FALSE),"-")</f>
        <v>20</v>
      </c>
      <c r="AE36" s="50">
        <f>IFERROR(VLOOKUP(AA36,'[1]back office'!$G$17:$H$19,2,FALSE),"-")</f>
        <v>0</v>
      </c>
      <c r="AF36" s="51">
        <f t="shared" si="31"/>
        <v>25</v>
      </c>
      <c r="AG36" s="49" t="s">
        <v>63</v>
      </c>
      <c r="AH36" s="51">
        <f>IFERROR(VLOOKUP(AG36,'[1]back office'!$A$23:$B$25,2,FALSE),"-")</f>
        <v>0</v>
      </c>
      <c r="AI36" s="49">
        <v>50</v>
      </c>
      <c r="AJ36" s="49">
        <v>15</v>
      </c>
      <c r="AK36" s="49">
        <f t="shared" si="22"/>
        <v>50</v>
      </c>
      <c r="AL36" s="49">
        <v>15</v>
      </c>
      <c r="AM36" s="51">
        <f t="shared" si="32"/>
        <v>65</v>
      </c>
      <c r="AN36" s="49" t="s">
        <v>64</v>
      </c>
      <c r="AO36" s="51">
        <f>IFERROR(VLOOKUP(AN36,'[1]back office'!$A$36:$B$38,2,FALSE),"-")</f>
        <v>0</v>
      </c>
    </row>
    <row r="37" spans="1:41">
      <c r="A37" s="47" t="s">
        <v>101</v>
      </c>
      <c r="B37" s="50" t="str">
        <f t="shared" si="0"/>
        <v>A</v>
      </c>
      <c r="C37" s="50">
        <f t="shared" si="28"/>
        <v>195</v>
      </c>
      <c r="D37" s="49" t="s">
        <v>50</v>
      </c>
      <c r="E37" s="49" t="s">
        <v>73</v>
      </c>
      <c r="F37" s="49" t="s">
        <v>74</v>
      </c>
      <c r="G37" s="49" t="s">
        <v>53</v>
      </c>
      <c r="H37" s="49" t="s">
        <v>54</v>
      </c>
      <c r="I37" s="49" t="s">
        <v>55</v>
      </c>
      <c r="J37" s="50">
        <f>IFERROR(VLOOKUP(D37,'[1]back office'!$A$4:$B$6,2,FALSE),"-")</f>
        <v>25</v>
      </c>
      <c r="K37" s="50">
        <f>IFERROR(VLOOKUP(E37,'[1]back office'!$C$4:$D$6,2,FALSE),"-")</f>
        <v>0</v>
      </c>
      <c r="L37" s="50">
        <f>IFERROR(VLOOKUP(F37,'[1]back office'!$E$4:$F$6,2,FALSE),"-")</f>
        <v>15</v>
      </c>
      <c r="M37" s="50">
        <f>IFERROR(VLOOKUP(G37,'[1]back office'!$G$4:$H$6,2,FALSE),"-")</f>
        <v>15</v>
      </c>
      <c r="N37" s="50">
        <f>IFERROR(VLOOKUP(H37,'[1]back office'!$I$4:$J$6,2,FALSE),"-")</f>
        <v>0</v>
      </c>
      <c r="O37" s="50">
        <f>IFERROR(VLOOKUP(I37,'[1]back office'!$K$4:$L$6,2,FALSE),"-")</f>
        <v>35</v>
      </c>
      <c r="P37" s="51">
        <f t="shared" si="29"/>
        <v>90</v>
      </c>
      <c r="Q37" s="49" t="s">
        <v>56</v>
      </c>
      <c r="R37" s="49" t="s">
        <v>57</v>
      </c>
      <c r="S37" s="49" t="s">
        <v>58</v>
      </c>
      <c r="T37" s="50">
        <f>IFERROR(VLOOKUP(Q37,'[1]back office'!$A$11:$B$13,2,FALSE),"-")</f>
        <v>35</v>
      </c>
      <c r="U37" s="50">
        <f>IFERROR(VLOOKUP(R37,'[1]back office'!$C$11:$D$13,2,FALSE),"-")</f>
        <v>0</v>
      </c>
      <c r="V37" s="50" t="str">
        <f>IFERROR(VLOOKUP(S37,'[1]back office'!$E$11:$F$13,2,FALSE),"-")</f>
        <v>-</v>
      </c>
      <c r="W37" s="51">
        <f t="shared" si="30"/>
        <v>35</v>
      </c>
      <c r="X37" s="49" t="s">
        <v>70</v>
      </c>
      <c r="Y37" s="49" t="s">
        <v>84</v>
      </c>
      <c r="Z37" s="49" t="s">
        <v>75</v>
      </c>
      <c r="AA37" s="49" t="s">
        <v>76</v>
      </c>
      <c r="AB37" s="50" t="str">
        <f>IFERROR(VLOOKUP(X37,'[1]back office'!$A$17:$B$19,2,FALSE),"-")</f>
        <v>-</v>
      </c>
      <c r="AC37" s="50">
        <f>IFERROR(VLOOKUP(Y37,'[1]back office'!$C$17:$D$19,2,FALSE),"-")</f>
        <v>5</v>
      </c>
      <c r="AD37" s="50">
        <f>IFERROR(VLOOKUP(Z37,'[1]back office'!$E$17:$F$19,2,FALSE),"-")</f>
        <v>20</v>
      </c>
      <c r="AE37" s="50">
        <f>IFERROR(VLOOKUP(AA37,'[1]back office'!$G$17:$H$19,2,FALSE),"-")</f>
        <v>0</v>
      </c>
      <c r="AF37" s="51">
        <f t="shared" si="31"/>
        <v>25</v>
      </c>
      <c r="AG37" s="49" t="s">
        <v>63</v>
      </c>
      <c r="AH37" s="51">
        <f>IFERROR(VLOOKUP(AG37,'[1]back office'!$A$23:$B$25,2,FALSE),"-")</f>
        <v>0</v>
      </c>
      <c r="AI37" s="49">
        <v>30</v>
      </c>
      <c r="AJ37" s="49">
        <v>15</v>
      </c>
      <c r="AK37" s="49">
        <f t="shared" si="22"/>
        <v>30</v>
      </c>
      <c r="AL37" s="49">
        <v>15</v>
      </c>
      <c r="AM37" s="51">
        <f t="shared" si="32"/>
        <v>45</v>
      </c>
      <c r="AN37" s="49" t="s">
        <v>64</v>
      </c>
      <c r="AO37" s="51">
        <f>IFERROR(VLOOKUP(AN37,'[1]back office'!$A$36:$B$38,2,FALSE),"-")</f>
        <v>0</v>
      </c>
    </row>
    <row r="38" spans="1:41">
      <c r="A38" s="47" t="s">
        <v>102</v>
      </c>
      <c r="B38" s="50" t="str">
        <f t="shared" si="0"/>
        <v>A</v>
      </c>
      <c r="C38" s="50">
        <f t="shared" si="28"/>
        <v>180</v>
      </c>
      <c r="D38" s="49" t="s">
        <v>50</v>
      </c>
      <c r="E38" s="49" t="s">
        <v>92</v>
      </c>
      <c r="F38" s="49" t="s">
        <v>74</v>
      </c>
      <c r="G38" s="49" t="s">
        <v>53</v>
      </c>
      <c r="H38" s="49" t="s">
        <v>54</v>
      </c>
      <c r="I38" s="49" t="s">
        <v>55</v>
      </c>
      <c r="J38" s="50">
        <f>IFERROR(VLOOKUP(D38,'[1]back office'!$A$4:$B$6,2,FALSE),"-")</f>
        <v>25</v>
      </c>
      <c r="K38" s="50">
        <f>IFERROR(VLOOKUP(E38,'[1]back office'!$C$4:$D$6,2,FALSE),"-")</f>
        <v>15</v>
      </c>
      <c r="L38" s="50">
        <f>IFERROR(VLOOKUP(F38,'[1]back office'!$E$4:$F$6,2,FALSE),"-")</f>
        <v>15</v>
      </c>
      <c r="M38" s="50">
        <f>IFERROR(VLOOKUP(G38,'[1]back office'!$G$4:$H$6,2,FALSE),"-")</f>
        <v>15</v>
      </c>
      <c r="N38" s="50">
        <f>IFERROR(VLOOKUP(H38,'[1]back office'!$I$4:$J$6,2,FALSE),"-")</f>
        <v>0</v>
      </c>
      <c r="O38" s="50">
        <f>IFERROR(VLOOKUP(I38,'[1]back office'!$K$4:$L$6,2,FALSE),"-")</f>
        <v>35</v>
      </c>
      <c r="P38" s="51">
        <f t="shared" si="29"/>
        <v>105</v>
      </c>
      <c r="Q38" s="49" t="s">
        <v>54</v>
      </c>
      <c r="R38" s="49" t="s">
        <v>57</v>
      </c>
      <c r="S38" s="49" t="s">
        <v>58</v>
      </c>
      <c r="T38" s="50">
        <f>IFERROR(VLOOKUP(Q38,'[1]back office'!$A$11:$B$13,2,FALSE),"-")</f>
        <v>0</v>
      </c>
      <c r="U38" s="50">
        <f>IFERROR(VLOOKUP(R38,'[1]back office'!$C$11:$D$13,2,FALSE),"-")</f>
        <v>0</v>
      </c>
      <c r="V38" s="50" t="str">
        <f>IFERROR(VLOOKUP(S38,'[1]back office'!$E$11:$F$13,2,FALSE),"-")</f>
        <v>-</v>
      </c>
      <c r="W38" s="51">
        <f t="shared" si="30"/>
        <v>0</v>
      </c>
      <c r="X38" s="49" t="s">
        <v>70</v>
      </c>
      <c r="Y38" s="49" t="s">
        <v>84</v>
      </c>
      <c r="Z38" s="49" t="s">
        <v>75</v>
      </c>
      <c r="AA38" s="49" t="s">
        <v>62</v>
      </c>
      <c r="AB38" s="50" t="str">
        <f>IFERROR(VLOOKUP(X38,'[1]back office'!$A$17:$B$19,2,FALSE),"-")</f>
        <v>-</v>
      </c>
      <c r="AC38" s="50">
        <f>IFERROR(VLOOKUP(Y38,'[1]back office'!$C$17:$D$19,2,FALSE),"-")</f>
        <v>5</v>
      </c>
      <c r="AD38" s="50">
        <f>IFERROR(VLOOKUP(Z38,'[1]back office'!$E$17:$F$19,2,FALSE),"-")</f>
        <v>20</v>
      </c>
      <c r="AE38" s="50">
        <f>IFERROR(VLOOKUP(AA38,'[1]back office'!$G$17:$H$19,2,FALSE),"-")</f>
        <v>5</v>
      </c>
      <c r="AF38" s="51">
        <f t="shared" si="31"/>
        <v>30</v>
      </c>
      <c r="AG38" s="49" t="s">
        <v>63</v>
      </c>
      <c r="AH38" s="51">
        <f>IFERROR(VLOOKUP(AG38,'[1]back office'!$A$23:$B$25,2,FALSE),"-")</f>
        <v>0</v>
      </c>
      <c r="AI38" s="49">
        <v>30</v>
      </c>
      <c r="AJ38" s="49">
        <v>15</v>
      </c>
      <c r="AK38" s="49">
        <f t="shared" si="22"/>
        <v>30</v>
      </c>
      <c r="AL38" s="49">
        <v>15</v>
      </c>
      <c r="AM38" s="51">
        <f t="shared" si="32"/>
        <v>45</v>
      </c>
      <c r="AN38" s="49" t="s">
        <v>64</v>
      </c>
      <c r="AO38" s="51">
        <f>IFERROR(VLOOKUP(AN38,'[1]back office'!$A$36:$B$38,2,FALSE),"-")</f>
        <v>0</v>
      </c>
    </row>
    <row r="39" spans="1:41">
      <c r="A39" s="47" t="s">
        <v>103</v>
      </c>
      <c r="B39" s="50" t="str">
        <f t="shared" si="0"/>
        <v>A</v>
      </c>
      <c r="C39" s="50">
        <f t="shared" si="28"/>
        <v>165</v>
      </c>
      <c r="D39" s="49" t="s">
        <v>50</v>
      </c>
      <c r="E39" s="49" t="s">
        <v>73</v>
      </c>
      <c r="F39" s="49" t="s">
        <v>74</v>
      </c>
      <c r="G39" s="49" t="s">
        <v>53</v>
      </c>
      <c r="H39" s="49" t="s">
        <v>54</v>
      </c>
      <c r="I39" s="49" t="s">
        <v>55</v>
      </c>
      <c r="J39" s="50">
        <f>IFERROR(VLOOKUP(D39,'[1]back office'!$A$4:$B$6,2,FALSE),"-")</f>
        <v>25</v>
      </c>
      <c r="K39" s="50">
        <f>IFERROR(VLOOKUP(E39,'[1]back office'!$C$4:$D$6,2,FALSE),"-")</f>
        <v>0</v>
      </c>
      <c r="L39" s="50">
        <f>IFERROR(VLOOKUP(F39,'[1]back office'!$E$4:$F$6,2,FALSE),"-")</f>
        <v>15</v>
      </c>
      <c r="M39" s="50">
        <f>IFERROR(VLOOKUP(G39,'[1]back office'!$G$4:$H$6,2,FALSE),"-")</f>
        <v>15</v>
      </c>
      <c r="N39" s="50">
        <f>IFERROR(VLOOKUP(H39,'[1]back office'!$I$4:$J$6,2,FALSE),"-")</f>
        <v>0</v>
      </c>
      <c r="O39" s="50">
        <f>IFERROR(VLOOKUP(I39,'[1]back office'!$K$4:$L$6,2,FALSE),"-")</f>
        <v>35</v>
      </c>
      <c r="P39" s="51">
        <f t="shared" si="29"/>
        <v>90</v>
      </c>
      <c r="Q39" s="49" t="s">
        <v>54</v>
      </c>
      <c r="R39" s="49" t="s">
        <v>57</v>
      </c>
      <c r="S39" s="49" t="s">
        <v>58</v>
      </c>
      <c r="T39" s="50">
        <f>IFERROR(VLOOKUP(Q39,'[1]back office'!$A$11:$B$13,2,FALSE),"-")</f>
        <v>0</v>
      </c>
      <c r="U39" s="50">
        <f>IFERROR(VLOOKUP(R39,'[1]back office'!$C$11:$D$13,2,FALSE),"-")</f>
        <v>0</v>
      </c>
      <c r="V39" s="50" t="str">
        <f>IFERROR(VLOOKUP(S39,'[1]back office'!$E$11:$F$13,2,FALSE),"-")</f>
        <v>-</v>
      </c>
      <c r="W39" s="51">
        <f t="shared" si="30"/>
        <v>0</v>
      </c>
      <c r="X39" s="49" t="s">
        <v>70</v>
      </c>
      <c r="Y39" s="49" t="s">
        <v>84</v>
      </c>
      <c r="Z39" s="49" t="s">
        <v>75</v>
      </c>
      <c r="AA39" s="49" t="s">
        <v>62</v>
      </c>
      <c r="AB39" s="50" t="str">
        <f>IFERROR(VLOOKUP(X39,'[1]back office'!$A$17:$B$19,2,FALSE),"-")</f>
        <v>-</v>
      </c>
      <c r="AC39" s="50">
        <f>IFERROR(VLOOKUP(Y39,'[1]back office'!$C$17:$D$19,2,FALSE),"-")</f>
        <v>5</v>
      </c>
      <c r="AD39" s="50">
        <f>IFERROR(VLOOKUP(Z39,'[1]back office'!$E$17:$F$19,2,FALSE),"-")</f>
        <v>20</v>
      </c>
      <c r="AE39" s="50">
        <f>IFERROR(VLOOKUP(AA39,'[1]back office'!$G$17:$H$19,2,FALSE),"-")</f>
        <v>5</v>
      </c>
      <c r="AF39" s="51">
        <f t="shared" si="31"/>
        <v>30</v>
      </c>
      <c r="AG39" s="49" t="s">
        <v>63</v>
      </c>
      <c r="AH39" s="51">
        <f>IFERROR(VLOOKUP(AG39,'[1]back office'!$A$23:$B$25,2,FALSE),"-")</f>
        <v>0</v>
      </c>
      <c r="AI39" s="49">
        <v>30</v>
      </c>
      <c r="AJ39" s="49">
        <v>15</v>
      </c>
      <c r="AK39" s="49">
        <f t="shared" si="22"/>
        <v>30</v>
      </c>
      <c r="AL39" s="49">
        <v>15</v>
      </c>
      <c r="AM39" s="51">
        <f t="shared" si="32"/>
        <v>45</v>
      </c>
      <c r="AN39" s="49" t="s">
        <v>64</v>
      </c>
      <c r="AO39" s="51">
        <f>IFERROR(VLOOKUP(AN39,'[1]back office'!$A$36:$B$38,2,FALSE),"-")</f>
        <v>0</v>
      </c>
    </row>
    <row r="40" spans="1:41">
      <c r="A40" s="47" t="s">
        <v>104</v>
      </c>
      <c r="B40" s="50" t="str">
        <f t="shared" si="0"/>
        <v>A</v>
      </c>
      <c r="C40" s="50">
        <f t="shared" ref="C40" si="33">IF(SUM(P40,W40,AF40,AH40,AM40,AO40)=0,"",SUM(P40,W40,AF40,AH40,AM40,AO40))</f>
        <v>175</v>
      </c>
      <c r="D40" s="49" t="s">
        <v>50</v>
      </c>
      <c r="E40" s="49" t="s">
        <v>73</v>
      </c>
      <c r="F40" s="49" t="s">
        <v>74</v>
      </c>
      <c r="G40" s="49" t="s">
        <v>53</v>
      </c>
      <c r="H40" s="49" t="s">
        <v>54</v>
      </c>
      <c r="I40" s="49" t="s">
        <v>55</v>
      </c>
      <c r="J40" s="50">
        <f>IFERROR(VLOOKUP(D40,'[1]back office'!$A$4:$B$6,2,FALSE),"-")</f>
        <v>25</v>
      </c>
      <c r="K40" s="50">
        <f>IFERROR(VLOOKUP(E40,'[1]back office'!$C$4:$D$6,2,FALSE),"-")</f>
        <v>0</v>
      </c>
      <c r="L40" s="50">
        <f>IFERROR(VLOOKUP(F40,'[1]back office'!$E$4:$F$6,2,FALSE),"-")</f>
        <v>15</v>
      </c>
      <c r="M40" s="50">
        <f>IFERROR(VLOOKUP(G40,'[1]back office'!$G$4:$H$6,2,FALSE),"-")</f>
        <v>15</v>
      </c>
      <c r="N40" s="50">
        <f>IFERROR(VLOOKUP(H40,'[1]back office'!$I$4:$J$6,2,FALSE),"-")</f>
        <v>0</v>
      </c>
      <c r="O40" s="50">
        <f>IFERROR(VLOOKUP(I40,'[1]back office'!$K$4:$L$6,2,FALSE),"-")</f>
        <v>35</v>
      </c>
      <c r="P40" s="51">
        <f t="shared" ref="P40" si="34">SUM(J40:O40)</f>
        <v>90</v>
      </c>
      <c r="Q40" s="49" t="s">
        <v>54</v>
      </c>
      <c r="R40" s="49" t="s">
        <v>57</v>
      </c>
      <c r="S40" s="49" t="s">
        <v>58</v>
      </c>
      <c r="T40" s="50">
        <f>IFERROR(VLOOKUP(Q40,'[1]back office'!$A$11:$B$13,2,FALSE),"-")</f>
        <v>0</v>
      </c>
      <c r="U40" s="50">
        <f>IFERROR(VLOOKUP(R40,'[1]back office'!$C$11:$D$13,2,FALSE),"-")</f>
        <v>0</v>
      </c>
      <c r="V40" s="50" t="str">
        <f>IFERROR(VLOOKUP(S40,'[1]back office'!$E$11:$F$13,2,FALSE),"-")</f>
        <v>-</v>
      </c>
      <c r="W40" s="51">
        <f t="shared" ref="W40" si="35">SUM(T40:V40)</f>
        <v>0</v>
      </c>
      <c r="X40" s="49" t="s">
        <v>70</v>
      </c>
      <c r="Y40" s="49" t="s">
        <v>84</v>
      </c>
      <c r="Z40" s="49" t="s">
        <v>75</v>
      </c>
      <c r="AA40" s="49" t="s">
        <v>76</v>
      </c>
      <c r="AB40" s="50" t="str">
        <f>IFERROR(VLOOKUP(X40,'[1]back office'!$A$17:$B$19,2,FALSE),"-")</f>
        <v>-</v>
      </c>
      <c r="AC40" s="50">
        <f>IFERROR(VLOOKUP(Y40,'[1]back office'!$C$17:$D$19,2,FALSE),"-")</f>
        <v>5</v>
      </c>
      <c r="AD40" s="50">
        <f>IFERROR(VLOOKUP(Z40,'[1]back office'!$E$17:$F$19,2,FALSE),"-")</f>
        <v>20</v>
      </c>
      <c r="AE40" s="50">
        <f>IFERROR(VLOOKUP(AA40,'[1]back office'!$G$17:$H$19,2,FALSE),"-")</f>
        <v>0</v>
      </c>
      <c r="AF40" s="51">
        <f t="shared" ref="AF40" si="36">SUM(AB40:AE40)</f>
        <v>25</v>
      </c>
      <c r="AG40" s="49" t="s">
        <v>63</v>
      </c>
      <c r="AH40" s="51">
        <f>IFERROR(VLOOKUP(AG40,'[1]back office'!$A$23:$B$25,2,FALSE),"-")</f>
        <v>0</v>
      </c>
      <c r="AI40" s="49">
        <v>30</v>
      </c>
      <c r="AJ40" s="49">
        <v>30</v>
      </c>
      <c r="AK40" s="49">
        <f t="shared" si="22"/>
        <v>30</v>
      </c>
      <c r="AL40" s="49">
        <v>30</v>
      </c>
      <c r="AM40" s="51">
        <f t="shared" ref="AM40" si="37">+SUM(AK40:AL40)</f>
        <v>60</v>
      </c>
      <c r="AN40" s="49" t="s">
        <v>64</v>
      </c>
      <c r="AO40" s="51">
        <f>IFERROR(VLOOKUP(AN40,'[1]back office'!$A$36:$B$38,2,FALSE),"-")</f>
        <v>0</v>
      </c>
    </row>
    <row r="41" spans="1:41">
      <c r="A41" s="47" t="s">
        <v>105</v>
      </c>
      <c r="B41" s="50" t="str">
        <f t="shared" si="0"/>
        <v>A</v>
      </c>
      <c r="C41" s="50">
        <f t="shared" ref="C41" si="38">IF(SUM(P41,W41,AF41,AH41,AM41,AO41)=0,"",SUM(P41,W41,AF41,AH41,AM41,AO41))</f>
        <v>185</v>
      </c>
      <c r="D41" s="49" t="s">
        <v>50</v>
      </c>
      <c r="E41" s="49" t="s">
        <v>73</v>
      </c>
      <c r="F41" s="49" t="s">
        <v>74</v>
      </c>
      <c r="G41" s="49" t="s">
        <v>53</v>
      </c>
      <c r="H41" s="49" t="s">
        <v>54</v>
      </c>
      <c r="I41" s="49" t="s">
        <v>55</v>
      </c>
      <c r="J41" s="50">
        <f>IFERROR(VLOOKUP(D41,'[1]back office'!$A$4:$B$6,2,FALSE),"-")</f>
        <v>25</v>
      </c>
      <c r="K41" s="50">
        <f>IFERROR(VLOOKUP(E41,'[1]back office'!$C$4:$D$6,2,FALSE),"-")</f>
        <v>0</v>
      </c>
      <c r="L41" s="50">
        <f>IFERROR(VLOOKUP(F41,'[1]back office'!$E$4:$F$6,2,FALSE),"-")</f>
        <v>15</v>
      </c>
      <c r="M41" s="50">
        <f>IFERROR(VLOOKUP(G41,'[1]back office'!$G$4:$H$6,2,FALSE),"-")</f>
        <v>15</v>
      </c>
      <c r="N41" s="50">
        <f>IFERROR(VLOOKUP(H41,'[1]back office'!$I$4:$J$6,2,FALSE),"-")</f>
        <v>0</v>
      </c>
      <c r="O41" s="50">
        <f>IFERROR(VLOOKUP(I41,'[1]back office'!$K$4:$L$6,2,FALSE),"-")</f>
        <v>35</v>
      </c>
      <c r="P41" s="51">
        <f t="shared" ref="P41" si="39">SUM(J41:O41)</f>
        <v>90</v>
      </c>
      <c r="Q41" s="49" t="s">
        <v>54</v>
      </c>
      <c r="R41" s="49" t="s">
        <v>57</v>
      </c>
      <c r="S41" s="49" t="s">
        <v>58</v>
      </c>
      <c r="T41" s="50">
        <f>IFERROR(VLOOKUP(Q41,'[1]back office'!$A$11:$B$13,2,FALSE),"-")</f>
        <v>0</v>
      </c>
      <c r="U41" s="50">
        <f>IFERROR(VLOOKUP(R41,'[1]back office'!$C$11:$D$13,2,FALSE),"-")</f>
        <v>0</v>
      </c>
      <c r="V41" s="50" t="str">
        <f>IFERROR(VLOOKUP(S41,'[1]back office'!$E$11:$F$13,2,FALSE),"-")</f>
        <v>-</v>
      </c>
      <c r="W41" s="51">
        <f t="shared" ref="W41" si="40">SUM(T41:V41)</f>
        <v>0</v>
      </c>
      <c r="X41" s="49" t="s">
        <v>70</v>
      </c>
      <c r="Y41" s="49" t="s">
        <v>84</v>
      </c>
      <c r="Z41" s="49" t="s">
        <v>75</v>
      </c>
      <c r="AA41" s="49" t="s">
        <v>62</v>
      </c>
      <c r="AB41" s="50" t="str">
        <f>IFERROR(VLOOKUP(X41,'[1]back office'!$A$17:$B$19,2,FALSE),"-")</f>
        <v>-</v>
      </c>
      <c r="AC41" s="50">
        <f>IFERROR(VLOOKUP(Y41,'[1]back office'!$C$17:$D$19,2,FALSE),"-")</f>
        <v>5</v>
      </c>
      <c r="AD41" s="50">
        <f>IFERROR(VLOOKUP(Z41,'[1]back office'!$E$17:$F$19,2,FALSE),"-")</f>
        <v>20</v>
      </c>
      <c r="AE41" s="50">
        <f>IFERROR(VLOOKUP(AA41,'[1]back office'!$G$17:$H$19,2,FALSE),"-")</f>
        <v>5</v>
      </c>
      <c r="AF41" s="51">
        <f t="shared" ref="AF41" si="41">SUM(AB41:AE41)</f>
        <v>30</v>
      </c>
      <c r="AG41" s="49" t="s">
        <v>63</v>
      </c>
      <c r="AH41" s="51">
        <f>IFERROR(VLOOKUP(AG41,'[1]back office'!$A$23:$B$25,2,FALSE),"-")</f>
        <v>0</v>
      </c>
      <c r="AI41" s="49">
        <v>50</v>
      </c>
      <c r="AJ41" s="49">
        <v>15</v>
      </c>
      <c r="AK41" s="49">
        <f t="shared" si="22"/>
        <v>50</v>
      </c>
      <c r="AL41" s="49">
        <v>15</v>
      </c>
      <c r="AM41" s="51">
        <f t="shared" ref="AM41" si="42">+SUM(AK41:AL41)</f>
        <v>65</v>
      </c>
      <c r="AN41" s="49" t="s">
        <v>64</v>
      </c>
      <c r="AO41" s="51">
        <f>IFERROR(VLOOKUP(AN41,'[1]back office'!$A$36:$B$38,2,FALSE),"-")</f>
        <v>0</v>
      </c>
    </row>
    <row r="42" spans="1:41">
      <c r="A42" s="47" t="s">
        <v>106</v>
      </c>
      <c r="B42" s="50" t="str">
        <f t="shared" si="0"/>
        <v>A</v>
      </c>
      <c r="C42" s="50">
        <f>IF(SUM(P42,W42,AF42,AH42,AM42,AO42)=0,"",SUM(P42,W42,AF42,AH42,AM42,AO42))</f>
        <v>165</v>
      </c>
      <c r="D42" s="49" t="s">
        <v>50</v>
      </c>
      <c r="E42" s="49" t="s">
        <v>73</v>
      </c>
      <c r="F42" s="49" t="s">
        <v>74</v>
      </c>
      <c r="G42" s="49" t="s">
        <v>53</v>
      </c>
      <c r="H42" s="49" t="s">
        <v>54</v>
      </c>
      <c r="I42" s="49" t="s">
        <v>55</v>
      </c>
      <c r="J42" s="50">
        <f>IFERROR(VLOOKUP(D42,'[1]back office'!$A$4:$B$6,2,FALSE),"-")</f>
        <v>25</v>
      </c>
      <c r="K42" s="50">
        <f>IFERROR(VLOOKUP(E42,'[1]back office'!$C$4:$D$6,2,FALSE),"-")</f>
        <v>0</v>
      </c>
      <c r="L42" s="50">
        <f>IFERROR(VLOOKUP(F42,'[1]back office'!$E$4:$F$6,2,FALSE),"-")</f>
        <v>15</v>
      </c>
      <c r="M42" s="50">
        <f>IFERROR(VLOOKUP(G42,'[1]back office'!$G$4:$H$6,2,FALSE),"-")</f>
        <v>15</v>
      </c>
      <c r="N42" s="50">
        <f>IFERROR(VLOOKUP(H42,'[1]back office'!$I$4:$J$6,2,FALSE),"-")</f>
        <v>0</v>
      </c>
      <c r="O42" s="50">
        <f>IFERROR(VLOOKUP(I42,'[1]back office'!$K$4:$L$6,2,FALSE),"-")</f>
        <v>35</v>
      </c>
      <c r="P42" s="51">
        <f>SUM(J42:O42)</f>
        <v>90</v>
      </c>
      <c r="Q42" s="49" t="s">
        <v>54</v>
      </c>
      <c r="R42" s="49" t="s">
        <v>57</v>
      </c>
      <c r="S42" s="49" t="s">
        <v>58</v>
      </c>
      <c r="T42" s="50">
        <f>IFERROR(VLOOKUP(Q42,'[1]back office'!$A$11:$B$13,2,FALSE),"-")</f>
        <v>0</v>
      </c>
      <c r="U42" s="50">
        <f>IFERROR(VLOOKUP(R42,'[1]back office'!$C$11:$D$13,2,FALSE),"-")</f>
        <v>0</v>
      </c>
      <c r="V42" s="50" t="str">
        <f>IFERROR(VLOOKUP(S42,'[1]back office'!$E$11:$F$13,2,FALSE),"-")</f>
        <v>-</v>
      </c>
      <c r="W42" s="51">
        <f>SUM(T42:V42)</f>
        <v>0</v>
      </c>
      <c r="X42" s="49" t="s">
        <v>70</v>
      </c>
      <c r="Y42" s="49" t="s">
        <v>84</v>
      </c>
      <c r="Z42" s="49" t="s">
        <v>75</v>
      </c>
      <c r="AA42" s="49" t="s">
        <v>62</v>
      </c>
      <c r="AB42" s="50" t="str">
        <f>IFERROR(VLOOKUP(X42,'[1]back office'!$A$17:$B$19,2,FALSE),"-")</f>
        <v>-</v>
      </c>
      <c r="AC42" s="50">
        <f>IFERROR(VLOOKUP(Y42,'[1]back office'!$C$17:$D$19,2,FALSE),"-")</f>
        <v>5</v>
      </c>
      <c r="AD42" s="50">
        <f>IFERROR(VLOOKUP(Z42,'[1]back office'!$E$17:$F$19,2,FALSE),"-")</f>
        <v>20</v>
      </c>
      <c r="AE42" s="50">
        <f>IFERROR(VLOOKUP(AA42,'[1]back office'!$G$17:$H$19,2,FALSE),"-")</f>
        <v>5</v>
      </c>
      <c r="AF42" s="51">
        <f>SUM(AB42:AE42)</f>
        <v>30</v>
      </c>
      <c r="AG42" s="49" t="s">
        <v>63</v>
      </c>
      <c r="AH42" s="51">
        <f>IFERROR(VLOOKUP(AG42,'[1]back office'!$A$23:$B$25,2,FALSE),"-")</f>
        <v>0</v>
      </c>
      <c r="AI42" s="49">
        <v>30</v>
      </c>
      <c r="AJ42" s="49">
        <v>15</v>
      </c>
      <c r="AK42" s="49">
        <f t="shared" si="22"/>
        <v>30</v>
      </c>
      <c r="AL42" s="49">
        <v>15</v>
      </c>
      <c r="AM42" s="51">
        <f>+SUM(AK42:AL42)</f>
        <v>45</v>
      </c>
      <c r="AN42" s="49" t="s">
        <v>64</v>
      </c>
      <c r="AO42" s="51">
        <f>IFERROR(VLOOKUP(AN42,'[1]back office'!$A$36:$B$38,2,FALSE),"-")</f>
        <v>0</v>
      </c>
    </row>
    <row r="43" spans="1:41">
      <c r="A43" s="47" t="s">
        <v>107</v>
      </c>
      <c r="B43" s="50" t="str">
        <f t="shared" si="0"/>
        <v>A</v>
      </c>
      <c r="C43" s="50">
        <f>IF(SUM(P43,W43,AF43,AH43,AM43,AO43)=0,"",SUM(P43,W43,AF43,AH43,AM43,AO43))</f>
        <v>175</v>
      </c>
      <c r="D43" s="49" t="s">
        <v>50</v>
      </c>
      <c r="E43" s="49" t="s">
        <v>73</v>
      </c>
      <c r="F43" s="49" t="s">
        <v>74</v>
      </c>
      <c r="G43" s="49" t="s">
        <v>53</v>
      </c>
      <c r="H43" s="49" t="s">
        <v>54</v>
      </c>
      <c r="I43" s="49" t="s">
        <v>55</v>
      </c>
      <c r="J43" s="50">
        <f>IFERROR(VLOOKUP(D43,'[1]back office'!$A$4:$B$6,2,FALSE),"-")</f>
        <v>25</v>
      </c>
      <c r="K43" s="50">
        <f>IFERROR(VLOOKUP(E43,'[1]back office'!$C$4:$D$6,2,FALSE),"-")</f>
        <v>0</v>
      </c>
      <c r="L43" s="50">
        <f>IFERROR(VLOOKUP(F43,'[1]back office'!$E$4:$F$6,2,FALSE),"-")</f>
        <v>15</v>
      </c>
      <c r="M43" s="50">
        <f>IFERROR(VLOOKUP(G43,'[1]back office'!$G$4:$H$6,2,FALSE),"-")</f>
        <v>15</v>
      </c>
      <c r="N43" s="50">
        <f>IFERROR(VLOOKUP(H43,'[1]back office'!$I$4:$J$6,2,FALSE),"-")</f>
        <v>0</v>
      </c>
      <c r="O43" s="50">
        <f>IFERROR(VLOOKUP(I43,'[1]back office'!$K$4:$L$6,2,FALSE),"-")</f>
        <v>35</v>
      </c>
      <c r="P43" s="51">
        <f>SUM(J43:O43)</f>
        <v>90</v>
      </c>
      <c r="Q43" s="49" t="s">
        <v>54</v>
      </c>
      <c r="R43" s="49" t="s">
        <v>57</v>
      </c>
      <c r="S43" s="49" t="s">
        <v>58</v>
      </c>
      <c r="T43" s="50">
        <f>IFERROR(VLOOKUP(Q43,'[1]back office'!$A$11:$B$13,2,FALSE),"-")</f>
        <v>0</v>
      </c>
      <c r="U43" s="50">
        <f>IFERROR(VLOOKUP(R43,'[1]back office'!$C$11:$D$13,2,FALSE),"-")</f>
        <v>0</v>
      </c>
      <c r="V43" s="50" t="str">
        <f>IFERROR(VLOOKUP(S43,'[1]back office'!$E$11:$F$13,2,FALSE),"-")</f>
        <v>-</v>
      </c>
      <c r="W43" s="51">
        <f>SUM(T43:V43)</f>
        <v>0</v>
      </c>
      <c r="X43" s="49" t="s">
        <v>70</v>
      </c>
      <c r="Y43" s="49" t="s">
        <v>84</v>
      </c>
      <c r="Z43" s="49" t="s">
        <v>75</v>
      </c>
      <c r="AA43" s="49" t="s">
        <v>76</v>
      </c>
      <c r="AB43" s="50" t="str">
        <f>IFERROR(VLOOKUP(X43,'[1]back office'!$A$17:$B$19,2,FALSE),"-")</f>
        <v>-</v>
      </c>
      <c r="AC43" s="50">
        <f>IFERROR(VLOOKUP(Y43,'[1]back office'!$C$17:$D$19,2,FALSE),"-")</f>
        <v>5</v>
      </c>
      <c r="AD43" s="50">
        <f>IFERROR(VLOOKUP(Z43,'[1]back office'!$E$17:$F$19,2,FALSE),"-")</f>
        <v>20</v>
      </c>
      <c r="AE43" s="50">
        <f>IFERROR(VLOOKUP(AA43,'[1]back office'!$G$17:$H$19,2,FALSE),"-")</f>
        <v>0</v>
      </c>
      <c r="AF43" s="51">
        <f>SUM(AB43:AE43)</f>
        <v>25</v>
      </c>
      <c r="AG43" s="49" t="s">
        <v>63</v>
      </c>
      <c r="AH43" s="51">
        <f>IFERROR(VLOOKUP(AG43,'[1]back office'!$A$23:$B$25,2,FALSE),"-")</f>
        <v>0</v>
      </c>
      <c r="AI43" s="49">
        <v>30</v>
      </c>
      <c r="AJ43" s="49">
        <v>30</v>
      </c>
      <c r="AK43" s="49">
        <f t="shared" si="22"/>
        <v>30</v>
      </c>
      <c r="AL43" s="49">
        <v>30</v>
      </c>
      <c r="AM43" s="51">
        <f>+SUM(AK43:AL43)</f>
        <v>60</v>
      </c>
      <c r="AN43" s="49" t="s">
        <v>64</v>
      </c>
      <c r="AO43" s="51">
        <f>IFERROR(VLOOKUP(AN43,'[1]back office'!$A$36:$B$38,2,FALSE),"-")</f>
        <v>0</v>
      </c>
    </row>
    <row r="44" spans="1:41">
      <c r="A44" s="47" t="s">
        <v>108</v>
      </c>
      <c r="B44" s="50" t="str">
        <f t="shared" si="0"/>
        <v>A</v>
      </c>
      <c r="C44" s="50">
        <f t="shared" ref="C44:C45" si="43">IF(SUM(P44,W44,AF44,AH44,AM44,AO44)=0,"",SUM(P44,W44,AF44,AH44,AM44,AO44))</f>
        <v>195</v>
      </c>
      <c r="D44" s="49" t="s">
        <v>50</v>
      </c>
      <c r="E44" s="49" t="s">
        <v>73</v>
      </c>
      <c r="F44" s="49" t="s">
        <v>74</v>
      </c>
      <c r="G44" s="49" t="s">
        <v>53</v>
      </c>
      <c r="H44" s="49" t="s">
        <v>54</v>
      </c>
      <c r="I44" s="49" t="s">
        <v>55</v>
      </c>
      <c r="J44" s="50">
        <f>IFERROR(VLOOKUP(D44,'[1]back office'!$A$4:$B$6,2,FALSE),"-")</f>
        <v>25</v>
      </c>
      <c r="K44" s="50">
        <f>IFERROR(VLOOKUP(E44,'[1]back office'!$C$4:$D$6,2,FALSE),"-")</f>
        <v>0</v>
      </c>
      <c r="L44" s="50">
        <f>IFERROR(VLOOKUP(F44,'[1]back office'!$E$4:$F$6,2,FALSE),"-")</f>
        <v>15</v>
      </c>
      <c r="M44" s="50">
        <f>IFERROR(VLOOKUP(G44,'[1]back office'!$G$4:$H$6,2,FALSE),"-")</f>
        <v>15</v>
      </c>
      <c r="N44" s="50">
        <f>IFERROR(VLOOKUP(H44,'[1]back office'!$I$4:$J$6,2,FALSE),"-")</f>
        <v>0</v>
      </c>
      <c r="O44" s="50">
        <f>IFERROR(VLOOKUP(I44,'[1]back office'!$K$4:$L$6,2,FALSE),"-")</f>
        <v>35</v>
      </c>
      <c r="P44" s="51">
        <f t="shared" ref="P44:P45" si="44">SUM(J44:O44)</f>
        <v>90</v>
      </c>
      <c r="Q44" s="49" t="s">
        <v>56</v>
      </c>
      <c r="R44" s="49" t="s">
        <v>57</v>
      </c>
      <c r="S44" s="49" t="s">
        <v>58</v>
      </c>
      <c r="T44" s="50">
        <f>IFERROR(VLOOKUP(Q44,'[1]back office'!$A$11:$B$13,2,FALSE),"-")</f>
        <v>35</v>
      </c>
      <c r="U44" s="50">
        <f>IFERROR(VLOOKUP(R44,'[1]back office'!$C$11:$D$13,2,FALSE),"-")</f>
        <v>0</v>
      </c>
      <c r="V44" s="50" t="str">
        <f>IFERROR(VLOOKUP(S44,'[1]back office'!$E$11:$F$13,2,FALSE),"-")</f>
        <v>-</v>
      </c>
      <c r="W44" s="51">
        <f t="shared" ref="W44:W45" si="45">SUM(T44:V44)</f>
        <v>35</v>
      </c>
      <c r="X44" s="49" t="s">
        <v>70</v>
      </c>
      <c r="Y44" s="49" t="s">
        <v>84</v>
      </c>
      <c r="Z44" s="49" t="s">
        <v>75</v>
      </c>
      <c r="AA44" s="49" t="s">
        <v>76</v>
      </c>
      <c r="AB44" s="50" t="str">
        <f>IFERROR(VLOOKUP(X44,'[1]back office'!$A$17:$B$19,2,FALSE),"-")</f>
        <v>-</v>
      </c>
      <c r="AC44" s="50">
        <f>IFERROR(VLOOKUP(Y44,'[1]back office'!$C$17:$D$19,2,FALSE),"-")</f>
        <v>5</v>
      </c>
      <c r="AD44" s="50">
        <f>IFERROR(VLOOKUP(Z44,'[1]back office'!$E$17:$F$19,2,FALSE),"-")</f>
        <v>20</v>
      </c>
      <c r="AE44" s="50">
        <f>IFERROR(VLOOKUP(AA44,'[1]back office'!$G$17:$H$19,2,FALSE),"-")</f>
        <v>0</v>
      </c>
      <c r="AF44" s="51">
        <f t="shared" ref="AF44:AF45" si="46">SUM(AB44:AE44)</f>
        <v>25</v>
      </c>
      <c r="AG44" s="49" t="s">
        <v>63</v>
      </c>
      <c r="AH44" s="51">
        <f>IFERROR(VLOOKUP(AG44,'[1]back office'!$A$23:$B$25,2,FALSE),"-")</f>
        <v>0</v>
      </c>
      <c r="AI44" s="49">
        <v>30</v>
      </c>
      <c r="AJ44" s="49">
        <v>15</v>
      </c>
      <c r="AK44" s="49">
        <f t="shared" si="22"/>
        <v>30</v>
      </c>
      <c r="AL44" s="49">
        <v>15</v>
      </c>
      <c r="AM44" s="51">
        <f t="shared" ref="AM44:AM45" si="47">+SUM(AK44:AL44)</f>
        <v>45</v>
      </c>
      <c r="AN44" s="49" t="s">
        <v>64</v>
      </c>
      <c r="AO44" s="51">
        <f>IFERROR(VLOOKUP(AN44,'[1]back office'!$A$36:$B$38,2,FALSE),"-")</f>
        <v>0</v>
      </c>
    </row>
    <row r="45" spans="1:41">
      <c r="A45" s="47" t="s">
        <v>109</v>
      </c>
      <c r="B45" s="50" t="str">
        <f t="shared" si="0"/>
        <v>A</v>
      </c>
      <c r="C45" s="50">
        <f t="shared" si="43"/>
        <v>180</v>
      </c>
      <c r="D45" s="49" t="s">
        <v>50</v>
      </c>
      <c r="E45" s="49" t="s">
        <v>73</v>
      </c>
      <c r="F45" s="49" t="s">
        <v>74</v>
      </c>
      <c r="G45" s="49" t="s">
        <v>53</v>
      </c>
      <c r="H45" s="49" t="s">
        <v>54</v>
      </c>
      <c r="I45" s="49" t="s">
        <v>55</v>
      </c>
      <c r="J45" s="50">
        <f>IFERROR(VLOOKUP(D45,'[1]back office'!$A$4:$B$6,2,FALSE),"-")</f>
        <v>25</v>
      </c>
      <c r="K45" s="50">
        <f>IFERROR(VLOOKUP(E45,'[1]back office'!$C$4:$D$6,2,FALSE),"-")</f>
        <v>0</v>
      </c>
      <c r="L45" s="50">
        <f>IFERROR(VLOOKUP(F45,'[1]back office'!$E$4:$F$6,2,FALSE),"-")</f>
        <v>15</v>
      </c>
      <c r="M45" s="50">
        <f>IFERROR(VLOOKUP(G45,'[1]back office'!$G$4:$H$6,2,FALSE),"-")</f>
        <v>15</v>
      </c>
      <c r="N45" s="50">
        <f>IFERROR(VLOOKUP(H45,'[1]back office'!$I$4:$J$6,2,FALSE),"-")</f>
        <v>0</v>
      </c>
      <c r="O45" s="50">
        <f>IFERROR(VLOOKUP(I45,'[1]back office'!$K$4:$L$6,2,FALSE),"-")</f>
        <v>35</v>
      </c>
      <c r="P45" s="51">
        <f t="shared" si="44"/>
        <v>90</v>
      </c>
      <c r="Q45" s="49" t="s">
        <v>54</v>
      </c>
      <c r="R45" s="49" t="s">
        <v>57</v>
      </c>
      <c r="S45" s="49" t="s">
        <v>58</v>
      </c>
      <c r="T45" s="50">
        <f>IFERROR(VLOOKUP(Q45,'[1]back office'!$A$11:$B$13,2,FALSE),"-")</f>
        <v>0</v>
      </c>
      <c r="U45" s="50">
        <f>IFERROR(VLOOKUP(R45,'[1]back office'!$C$11:$D$13,2,FALSE),"-")</f>
        <v>0</v>
      </c>
      <c r="V45" s="50" t="str">
        <f>IFERROR(VLOOKUP(S45,'[1]back office'!$E$11:$F$13,2,FALSE),"-")</f>
        <v>-</v>
      </c>
      <c r="W45" s="51">
        <f t="shared" si="45"/>
        <v>0</v>
      </c>
      <c r="X45" s="49" t="s">
        <v>70</v>
      </c>
      <c r="Y45" s="49" t="s">
        <v>84</v>
      </c>
      <c r="Z45" s="49" t="s">
        <v>75</v>
      </c>
      <c r="AA45" s="49" t="s">
        <v>76</v>
      </c>
      <c r="AB45" s="50" t="str">
        <f>IFERROR(VLOOKUP(X45,'[1]back office'!$A$17:$B$19,2,FALSE),"-")</f>
        <v>-</v>
      </c>
      <c r="AC45" s="50">
        <f>IFERROR(VLOOKUP(Y45,'[1]back office'!$C$17:$D$19,2,FALSE),"-")</f>
        <v>5</v>
      </c>
      <c r="AD45" s="50">
        <f>IFERROR(VLOOKUP(Z45,'[1]back office'!$E$17:$F$19,2,FALSE),"-")</f>
        <v>20</v>
      </c>
      <c r="AE45" s="50">
        <f>IFERROR(VLOOKUP(AA45,'[1]back office'!$G$17:$H$19,2,FALSE),"-")</f>
        <v>0</v>
      </c>
      <c r="AF45" s="51">
        <f t="shared" si="46"/>
        <v>25</v>
      </c>
      <c r="AG45" s="49" t="s">
        <v>63</v>
      </c>
      <c r="AH45" s="51">
        <f>IFERROR(VLOOKUP(AG45,'[1]back office'!$A$23:$B$25,2,FALSE),"-")</f>
        <v>0</v>
      </c>
      <c r="AI45" s="49">
        <v>50</v>
      </c>
      <c r="AJ45" s="49">
        <v>15</v>
      </c>
      <c r="AK45" s="49">
        <f t="shared" si="22"/>
        <v>50</v>
      </c>
      <c r="AL45" s="49">
        <v>15</v>
      </c>
      <c r="AM45" s="51">
        <f t="shared" si="47"/>
        <v>65</v>
      </c>
      <c r="AN45" s="49" t="s">
        <v>64</v>
      </c>
      <c r="AO45" s="51">
        <f>IFERROR(VLOOKUP(AN45,'[1]back office'!$A$36:$B$38,2,FALSE),"-")</f>
        <v>0</v>
      </c>
    </row>
    <row r="46" spans="1:41">
      <c r="A46" s="47" t="s">
        <v>110</v>
      </c>
      <c r="B46" s="50" t="str">
        <f t="shared" si="0"/>
        <v>A</v>
      </c>
      <c r="C46" s="50">
        <f>IF(SUM(P46,W46,AF46,AH46,AM46,AO46)=0,"",SUM(P46,W46,AF46,AH46,AM46,AO46))</f>
        <v>210</v>
      </c>
      <c r="D46" s="49" t="s">
        <v>50</v>
      </c>
      <c r="E46" s="49" t="s">
        <v>92</v>
      </c>
      <c r="F46" s="49" t="s">
        <v>74</v>
      </c>
      <c r="G46" s="49" t="s">
        <v>53</v>
      </c>
      <c r="H46" s="49" t="s">
        <v>54</v>
      </c>
      <c r="I46" s="49" t="s">
        <v>55</v>
      </c>
      <c r="J46" s="50">
        <f>IFERROR(VLOOKUP(D46,'[1]back office'!$A$4:$B$6,2,FALSE),"-")</f>
        <v>25</v>
      </c>
      <c r="K46" s="50">
        <f>IFERROR(VLOOKUP(E46,'[1]back office'!$C$4:$D$6,2,FALSE),"-")</f>
        <v>15</v>
      </c>
      <c r="L46" s="50">
        <f>IFERROR(VLOOKUP(F46,'[1]back office'!$E$4:$F$6,2,FALSE),"-")</f>
        <v>15</v>
      </c>
      <c r="M46" s="50">
        <f>IFERROR(VLOOKUP(G46,'[1]back office'!$G$4:$H$6,2,FALSE),"-")</f>
        <v>15</v>
      </c>
      <c r="N46" s="50">
        <f>IFERROR(VLOOKUP(H46,'[1]back office'!$I$4:$J$6,2,FALSE),"-")</f>
        <v>0</v>
      </c>
      <c r="O46" s="50">
        <f>IFERROR(VLOOKUP(I46,'[1]back office'!$K$4:$L$6,2,FALSE),"-")</f>
        <v>35</v>
      </c>
      <c r="P46" s="51">
        <f>SUM(J46:O46)</f>
        <v>105</v>
      </c>
      <c r="Q46" s="49" t="s">
        <v>56</v>
      </c>
      <c r="R46" s="49" t="s">
        <v>57</v>
      </c>
      <c r="S46" s="49" t="s">
        <v>58</v>
      </c>
      <c r="T46" s="50">
        <f>IFERROR(VLOOKUP(Q46,'[1]back office'!$A$11:$B$13,2,FALSE),"-")</f>
        <v>35</v>
      </c>
      <c r="U46" s="50">
        <f>IFERROR(VLOOKUP(R46,'[1]back office'!$C$11:$D$13,2,FALSE),"-")</f>
        <v>0</v>
      </c>
      <c r="V46" s="50" t="str">
        <f>IFERROR(VLOOKUP(S46,'[1]back office'!$E$11:$F$13,2,FALSE),"-")</f>
        <v>-</v>
      </c>
      <c r="W46" s="51">
        <f>SUM(T46:V46)</f>
        <v>35</v>
      </c>
      <c r="X46" s="49" t="s">
        <v>70</v>
      </c>
      <c r="Y46" s="49" t="s">
        <v>84</v>
      </c>
      <c r="Z46" s="49" t="s">
        <v>75</v>
      </c>
      <c r="AA46" s="49" t="s">
        <v>76</v>
      </c>
      <c r="AB46" s="50" t="str">
        <f>IFERROR(VLOOKUP(X46,'[1]back office'!$A$17:$B$19,2,FALSE),"-")</f>
        <v>-</v>
      </c>
      <c r="AC46" s="50">
        <f>IFERROR(VLOOKUP(Y46,'[1]back office'!$C$17:$D$19,2,FALSE),"-")</f>
        <v>5</v>
      </c>
      <c r="AD46" s="50">
        <f>IFERROR(VLOOKUP(Z46,'[1]back office'!$E$17:$F$19,2,FALSE),"-")</f>
        <v>20</v>
      </c>
      <c r="AE46" s="50">
        <f>IFERROR(VLOOKUP(AA46,'[1]back office'!$G$17:$H$19,2,FALSE),"-")</f>
        <v>0</v>
      </c>
      <c r="AF46" s="51">
        <f>SUM(AB46:AE46)</f>
        <v>25</v>
      </c>
      <c r="AG46" s="49" t="s">
        <v>63</v>
      </c>
      <c r="AH46" s="51">
        <f>IFERROR(VLOOKUP(AG46,'[1]back office'!$A$23:$B$25,2,FALSE),"-")</f>
        <v>0</v>
      </c>
      <c r="AI46" s="49">
        <v>30</v>
      </c>
      <c r="AJ46" s="49">
        <v>15</v>
      </c>
      <c r="AK46" s="49">
        <f t="shared" si="22"/>
        <v>30</v>
      </c>
      <c r="AL46" s="49">
        <v>15</v>
      </c>
      <c r="AM46" s="51">
        <f>+SUM(AK46:AL46)</f>
        <v>45</v>
      </c>
      <c r="AN46" s="49" t="s">
        <v>64</v>
      </c>
      <c r="AO46" s="51">
        <f>IFERROR(VLOOKUP(AN46,'[1]back office'!$A$36:$B$38,2,FALSE),"-")</f>
        <v>0</v>
      </c>
    </row>
    <row r="47" spans="1:41">
      <c r="A47" s="47" t="s">
        <v>111</v>
      </c>
      <c r="B47" s="50" t="str">
        <f t="shared" si="0"/>
        <v>A</v>
      </c>
      <c r="C47" s="50">
        <f t="shared" ref="C47:C49" si="48">IF(SUM(P47,W47,AF47,AH47,AM47,AO47)=0,"",SUM(P47,W47,AF47,AH47,AM47,AO47))</f>
        <v>165</v>
      </c>
      <c r="D47" s="49" t="s">
        <v>50</v>
      </c>
      <c r="E47" s="49" t="s">
        <v>73</v>
      </c>
      <c r="F47" s="49" t="s">
        <v>74</v>
      </c>
      <c r="G47" s="49" t="s">
        <v>53</v>
      </c>
      <c r="H47" s="49" t="s">
        <v>54</v>
      </c>
      <c r="I47" s="49" t="s">
        <v>55</v>
      </c>
      <c r="J47" s="50">
        <f>IFERROR(VLOOKUP(D47,'[1]back office'!$A$4:$B$6,2,FALSE),"-")</f>
        <v>25</v>
      </c>
      <c r="K47" s="50">
        <f>IFERROR(VLOOKUP(E47,'[1]back office'!$C$4:$D$6,2,FALSE),"-")</f>
        <v>0</v>
      </c>
      <c r="L47" s="50">
        <f>IFERROR(VLOOKUP(F47,'[1]back office'!$E$4:$F$6,2,FALSE),"-")</f>
        <v>15</v>
      </c>
      <c r="M47" s="50">
        <f>IFERROR(VLOOKUP(G47,'[1]back office'!$G$4:$H$6,2,FALSE),"-")</f>
        <v>15</v>
      </c>
      <c r="N47" s="50">
        <f>IFERROR(VLOOKUP(H47,'[1]back office'!$I$4:$J$6,2,FALSE),"-")</f>
        <v>0</v>
      </c>
      <c r="O47" s="50">
        <f>IFERROR(VLOOKUP(I47,'[1]back office'!$K$4:$L$6,2,FALSE),"-")</f>
        <v>35</v>
      </c>
      <c r="P47" s="51">
        <f t="shared" ref="P47:P49" si="49">SUM(J47:O47)</f>
        <v>90</v>
      </c>
      <c r="Q47" s="49" t="s">
        <v>54</v>
      </c>
      <c r="R47" s="49" t="s">
        <v>57</v>
      </c>
      <c r="S47" s="49" t="s">
        <v>58</v>
      </c>
      <c r="T47" s="50">
        <f>IFERROR(VLOOKUP(Q47,'[1]back office'!$A$11:$B$13,2,FALSE),"-")</f>
        <v>0</v>
      </c>
      <c r="U47" s="50">
        <f>IFERROR(VLOOKUP(R47,'[1]back office'!$C$11:$D$13,2,FALSE),"-")</f>
        <v>0</v>
      </c>
      <c r="V47" s="50" t="str">
        <f>IFERROR(VLOOKUP(S47,'[1]back office'!$E$11:$F$13,2,FALSE),"-")</f>
        <v>-</v>
      </c>
      <c r="W47" s="51">
        <f t="shared" ref="W47:W49" si="50">SUM(T47:V47)</f>
        <v>0</v>
      </c>
      <c r="X47" s="49" t="s">
        <v>70</v>
      </c>
      <c r="Y47" s="49" t="s">
        <v>84</v>
      </c>
      <c r="Z47" s="49" t="s">
        <v>75</v>
      </c>
      <c r="AA47" s="49" t="s">
        <v>62</v>
      </c>
      <c r="AB47" s="50" t="str">
        <f>IFERROR(VLOOKUP(X47,'[1]back office'!$A$17:$B$19,2,FALSE),"-")</f>
        <v>-</v>
      </c>
      <c r="AC47" s="50">
        <f>IFERROR(VLOOKUP(Y47,'[1]back office'!$C$17:$D$19,2,FALSE),"-")</f>
        <v>5</v>
      </c>
      <c r="AD47" s="50">
        <f>IFERROR(VLOOKUP(Z47,'[1]back office'!$E$17:$F$19,2,FALSE),"-")</f>
        <v>20</v>
      </c>
      <c r="AE47" s="50">
        <f>IFERROR(VLOOKUP(AA47,'[1]back office'!$G$17:$H$19,2,FALSE),"-")</f>
        <v>5</v>
      </c>
      <c r="AF47" s="51">
        <f t="shared" ref="AF47:AF49" si="51">SUM(AB47:AE47)</f>
        <v>30</v>
      </c>
      <c r="AG47" s="49" t="s">
        <v>63</v>
      </c>
      <c r="AH47" s="51">
        <f>IFERROR(VLOOKUP(AG47,'[1]back office'!$A$23:$B$25,2,FALSE),"-")</f>
        <v>0</v>
      </c>
      <c r="AI47" s="49">
        <v>30</v>
      </c>
      <c r="AJ47" s="49">
        <v>15</v>
      </c>
      <c r="AK47" s="49">
        <f t="shared" si="22"/>
        <v>30</v>
      </c>
      <c r="AL47" s="49">
        <v>15</v>
      </c>
      <c r="AM47" s="51">
        <f t="shared" ref="AM47:AM49" si="52">+SUM(AK47:AL47)</f>
        <v>45</v>
      </c>
      <c r="AN47" s="49" t="s">
        <v>64</v>
      </c>
      <c r="AO47" s="51">
        <f>IFERROR(VLOOKUP(AN47,'[1]back office'!$A$36:$B$38,2,FALSE),"-")</f>
        <v>0</v>
      </c>
    </row>
    <row r="48" spans="1:41">
      <c r="A48" s="47" t="s">
        <v>112</v>
      </c>
      <c r="B48" s="50" t="str">
        <f t="shared" si="0"/>
        <v>B</v>
      </c>
      <c r="C48" s="50">
        <f t="shared" si="48"/>
        <v>140</v>
      </c>
      <c r="D48" s="49" t="s">
        <v>50</v>
      </c>
      <c r="E48" s="49" t="s">
        <v>73</v>
      </c>
      <c r="F48" s="49" t="s">
        <v>74</v>
      </c>
      <c r="G48" s="49" t="s">
        <v>53</v>
      </c>
      <c r="H48" s="49" t="s">
        <v>54</v>
      </c>
      <c r="I48" s="49" t="s">
        <v>69</v>
      </c>
      <c r="J48" s="50">
        <f>IFERROR(VLOOKUP(D48,'[1]back office'!$A$4:$B$6,2,FALSE),"-")</f>
        <v>25</v>
      </c>
      <c r="K48" s="50">
        <f>IFERROR(VLOOKUP(E48,'[1]back office'!$C$4:$D$6,2,FALSE),"-")</f>
        <v>0</v>
      </c>
      <c r="L48" s="50">
        <f>IFERROR(VLOOKUP(F48,'[1]back office'!$E$4:$F$6,2,FALSE),"-")</f>
        <v>15</v>
      </c>
      <c r="M48" s="50">
        <f>IFERROR(VLOOKUP(G48,'[1]back office'!$G$4:$H$6,2,FALSE),"-")</f>
        <v>15</v>
      </c>
      <c r="N48" s="50">
        <f>IFERROR(VLOOKUP(H48,'[1]back office'!$I$4:$J$6,2,FALSE),"-")</f>
        <v>0</v>
      </c>
      <c r="O48" s="50">
        <f>IFERROR(VLOOKUP(I48,'[1]back office'!$K$4:$L$6,2,FALSE),"-")</f>
        <v>10</v>
      </c>
      <c r="P48" s="51">
        <f t="shared" si="49"/>
        <v>65</v>
      </c>
      <c r="Q48" s="49" t="s">
        <v>54</v>
      </c>
      <c r="R48" s="49" t="s">
        <v>57</v>
      </c>
      <c r="S48" s="49" t="s">
        <v>58</v>
      </c>
      <c r="T48" s="50">
        <f>IFERROR(VLOOKUP(Q48,'[1]back office'!$A$11:$B$13,2,FALSE),"-")</f>
        <v>0</v>
      </c>
      <c r="U48" s="50">
        <f>IFERROR(VLOOKUP(R48,'[1]back office'!$C$11:$D$13,2,FALSE),"-")</f>
        <v>0</v>
      </c>
      <c r="V48" s="50" t="str">
        <f>IFERROR(VLOOKUP(S48,'[1]back office'!$E$11:$F$13,2,FALSE),"-")</f>
        <v>-</v>
      </c>
      <c r="W48" s="51">
        <f t="shared" si="50"/>
        <v>0</v>
      </c>
      <c r="X48" s="49" t="s">
        <v>70</v>
      </c>
      <c r="Y48" s="49" t="s">
        <v>84</v>
      </c>
      <c r="Z48" s="49" t="s">
        <v>75</v>
      </c>
      <c r="AA48" s="49" t="s">
        <v>62</v>
      </c>
      <c r="AB48" s="50" t="str">
        <f>IFERROR(VLOOKUP(X48,'[1]back office'!$A$17:$B$19,2,FALSE),"-")</f>
        <v>-</v>
      </c>
      <c r="AC48" s="50">
        <f>IFERROR(VLOOKUP(Y48,'[1]back office'!$C$17:$D$19,2,FALSE),"-")</f>
        <v>5</v>
      </c>
      <c r="AD48" s="50">
        <f>IFERROR(VLOOKUP(Z48,'[1]back office'!$E$17:$F$19,2,FALSE),"-")</f>
        <v>20</v>
      </c>
      <c r="AE48" s="50">
        <f>IFERROR(VLOOKUP(AA48,'[1]back office'!$G$17:$H$19,2,FALSE),"-")</f>
        <v>5</v>
      </c>
      <c r="AF48" s="51">
        <f t="shared" si="51"/>
        <v>30</v>
      </c>
      <c r="AG48" s="49" t="s">
        <v>63</v>
      </c>
      <c r="AH48" s="51">
        <f>IFERROR(VLOOKUP(AG48,'[1]back office'!$A$23:$B$25,2,FALSE),"-")</f>
        <v>0</v>
      </c>
      <c r="AI48" s="49">
        <v>30</v>
      </c>
      <c r="AJ48" s="49">
        <v>15</v>
      </c>
      <c r="AK48" s="49">
        <f t="shared" si="22"/>
        <v>30</v>
      </c>
      <c r="AL48" s="49">
        <v>15</v>
      </c>
      <c r="AM48" s="51">
        <f t="shared" si="52"/>
        <v>45</v>
      </c>
      <c r="AN48" s="49" t="s">
        <v>64</v>
      </c>
      <c r="AO48" s="51">
        <f>IFERROR(VLOOKUP(AN48,'[1]back office'!$A$36:$B$38,2,FALSE),"-")</f>
        <v>0</v>
      </c>
    </row>
    <row r="49" spans="1:41">
      <c r="A49" s="47" t="s">
        <v>113</v>
      </c>
      <c r="B49" s="50" t="str">
        <f t="shared" si="0"/>
        <v>A</v>
      </c>
      <c r="C49" s="50">
        <f t="shared" si="48"/>
        <v>175</v>
      </c>
      <c r="D49" s="49" t="s">
        <v>50</v>
      </c>
      <c r="E49" s="49" t="s">
        <v>73</v>
      </c>
      <c r="F49" s="49" t="s">
        <v>74</v>
      </c>
      <c r="G49" s="49" t="s">
        <v>53</v>
      </c>
      <c r="H49" s="49" t="s">
        <v>54</v>
      </c>
      <c r="I49" s="49" t="s">
        <v>55</v>
      </c>
      <c r="J49" s="50">
        <f>IFERROR(VLOOKUP(D49,'[1]back office'!$A$4:$B$6,2,FALSE),"-")</f>
        <v>25</v>
      </c>
      <c r="K49" s="50">
        <f>IFERROR(VLOOKUP(E49,'[1]back office'!$C$4:$D$6,2,FALSE),"-")</f>
        <v>0</v>
      </c>
      <c r="L49" s="50">
        <f>IFERROR(VLOOKUP(F49,'[1]back office'!$E$4:$F$6,2,FALSE),"-")</f>
        <v>15</v>
      </c>
      <c r="M49" s="50">
        <f>IFERROR(VLOOKUP(G49,'[1]back office'!$G$4:$H$6,2,FALSE),"-")</f>
        <v>15</v>
      </c>
      <c r="N49" s="50">
        <f>IFERROR(VLOOKUP(H49,'[1]back office'!$I$4:$J$6,2,FALSE),"-")</f>
        <v>0</v>
      </c>
      <c r="O49" s="50">
        <f>IFERROR(VLOOKUP(I49,'[1]back office'!$K$4:$L$6,2,FALSE),"-")</f>
        <v>35</v>
      </c>
      <c r="P49" s="51">
        <f t="shared" si="49"/>
        <v>90</v>
      </c>
      <c r="Q49" s="49" t="s">
        <v>54</v>
      </c>
      <c r="R49" s="49" t="s">
        <v>57</v>
      </c>
      <c r="S49" s="49" t="s">
        <v>58</v>
      </c>
      <c r="T49" s="50">
        <f>IFERROR(VLOOKUP(Q49,'[1]back office'!$A$11:$B$13,2,FALSE),"-")</f>
        <v>0</v>
      </c>
      <c r="U49" s="50">
        <f>IFERROR(VLOOKUP(R49,'[1]back office'!$C$11:$D$13,2,FALSE),"-")</f>
        <v>0</v>
      </c>
      <c r="V49" s="50" t="str">
        <f>IFERROR(VLOOKUP(S49,'[1]back office'!$E$11:$F$13,2,FALSE),"-")</f>
        <v>-</v>
      </c>
      <c r="W49" s="51">
        <f t="shared" si="50"/>
        <v>0</v>
      </c>
      <c r="X49" s="49" t="s">
        <v>70</v>
      </c>
      <c r="Y49" s="49" t="s">
        <v>84</v>
      </c>
      <c r="Z49" s="49" t="s">
        <v>75</v>
      </c>
      <c r="AA49" s="49" t="s">
        <v>76</v>
      </c>
      <c r="AB49" s="50" t="str">
        <f>IFERROR(VLOOKUP(X49,'[1]back office'!$A$17:$B$19,2,FALSE),"-")</f>
        <v>-</v>
      </c>
      <c r="AC49" s="50">
        <f>IFERROR(VLOOKUP(Y49,'[1]back office'!$C$17:$D$19,2,FALSE),"-")</f>
        <v>5</v>
      </c>
      <c r="AD49" s="50">
        <f>IFERROR(VLOOKUP(Z49,'[1]back office'!$E$17:$F$19,2,FALSE),"-")</f>
        <v>20</v>
      </c>
      <c r="AE49" s="50">
        <f>IFERROR(VLOOKUP(AA49,'[1]back office'!$G$17:$H$19,2,FALSE),"-")</f>
        <v>0</v>
      </c>
      <c r="AF49" s="51">
        <f t="shared" si="51"/>
        <v>25</v>
      </c>
      <c r="AG49" s="49" t="s">
        <v>63</v>
      </c>
      <c r="AH49" s="51">
        <f>IFERROR(VLOOKUP(AG49,'[1]back office'!$A$23:$B$25,2,FALSE),"-")</f>
        <v>0</v>
      </c>
      <c r="AI49" s="49">
        <v>30</v>
      </c>
      <c r="AJ49" s="49">
        <v>30</v>
      </c>
      <c r="AK49" s="49">
        <f t="shared" ref="AK49" si="53">AI49</f>
        <v>30</v>
      </c>
      <c r="AL49" s="49">
        <v>30</v>
      </c>
      <c r="AM49" s="51">
        <f t="shared" si="52"/>
        <v>60</v>
      </c>
      <c r="AN49" s="49" t="s">
        <v>64</v>
      </c>
      <c r="AO49" s="51">
        <f>IFERROR(VLOOKUP(AN49,'[1]back office'!$A$36:$B$38,2,FALSE),"-")</f>
        <v>0</v>
      </c>
    </row>
    <row r="50" spans="1:41">
      <c r="A50" s="47" t="s">
        <v>114</v>
      </c>
      <c r="B50" s="50" t="str">
        <f t="shared" si="0"/>
        <v>A</v>
      </c>
      <c r="C50" s="50">
        <f t="shared" ref="C50" si="54">IF(SUM(P50,W50,AF50,AH50,AM50,AO50)=0,"",SUM(P50,W50,AF50,AH50,AM50,AO50))</f>
        <v>185</v>
      </c>
      <c r="D50" s="49" t="s">
        <v>50</v>
      </c>
      <c r="E50" s="49" t="s">
        <v>73</v>
      </c>
      <c r="F50" s="49" t="s">
        <v>74</v>
      </c>
      <c r="G50" s="49" t="s">
        <v>53</v>
      </c>
      <c r="H50" s="49" t="s">
        <v>54</v>
      </c>
      <c r="I50" s="49" t="s">
        <v>55</v>
      </c>
      <c r="J50" s="50">
        <f>IFERROR(VLOOKUP(D50,'[1]back office'!$A$4:$B$6,2,FALSE),"-")</f>
        <v>25</v>
      </c>
      <c r="K50" s="50">
        <f>IFERROR(VLOOKUP(E50,'[1]back office'!$C$4:$D$6,2,FALSE),"-")</f>
        <v>0</v>
      </c>
      <c r="L50" s="50">
        <f>IFERROR(VLOOKUP(F50,'[1]back office'!$E$4:$F$6,2,FALSE),"-")</f>
        <v>15</v>
      </c>
      <c r="M50" s="50">
        <f>IFERROR(VLOOKUP(G50,'[1]back office'!$G$4:$H$6,2,FALSE),"-")</f>
        <v>15</v>
      </c>
      <c r="N50" s="50">
        <f>IFERROR(VLOOKUP(H50,'[1]back office'!$I$4:$J$6,2,FALSE),"-")</f>
        <v>0</v>
      </c>
      <c r="O50" s="50">
        <f>IFERROR(VLOOKUP(I50,'[1]back office'!$K$4:$L$6,2,FALSE),"-")</f>
        <v>35</v>
      </c>
      <c r="P50" s="51">
        <f t="shared" ref="P50" si="55">SUM(J50:O50)</f>
        <v>90</v>
      </c>
      <c r="Q50" s="49" t="s">
        <v>54</v>
      </c>
      <c r="R50" s="49" t="s">
        <v>57</v>
      </c>
      <c r="S50" s="49" t="s">
        <v>58</v>
      </c>
      <c r="T50" s="50">
        <f>IFERROR(VLOOKUP(Q50,'[1]back office'!$A$11:$B$13,2,FALSE),"-")</f>
        <v>0</v>
      </c>
      <c r="U50" s="50">
        <f>IFERROR(VLOOKUP(R50,'[1]back office'!$C$11:$D$13,2,FALSE),"-")</f>
        <v>0</v>
      </c>
      <c r="V50" s="50" t="str">
        <f>IFERROR(VLOOKUP(S50,'[1]back office'!$E$11:$F$13,2,FALSE),"-")</f>
        <v>-</v>
      </c>
      <c r="W50" s="51">
        <f t="shared" ref="W50" si="56">SUM(T50:V50)</f>
        <v>0</v>
      </c>
      <c r="X50" s="49" t="s">
        <v>70</v>
      </c>
      <c r="Y50" s="49" t="s">
        <v>84</v>
      </c>
      <c r="Z50" s="49" t="s">
        <v>75</v>
      </c>
      <c r="AA50" s="49" t="s">
        <v>62</v>
      </c>
      <c r="AB50" s="50" t="str">
        <f>IFERROR(VLOOKUP(X50,'[1]back office'!$A$17:$B$19,2,FALSE),"-")</f>
        <v>-</v>
      </c>
      <c r="AC50" s="50">
        <f>IFERROR(VLOOKUP(Y50,'[1]back office'!$C$17:$D$19,2,FALSE),"-")</f>
        <v>5</v>
      </c>
      <c r="AD50" s="50">
        <f>IFERROR(VLOOKUP(Z50,'[1]back office'!$E$17:$F$19,2,FALSE),"-")</f>
        <v>20</v>
      </c>
      <c r="AE50" s="50">
        <f>IFERROR(VLOOKUP(AA50,'[1]back office'!$G$17:$H$19,2,FALSE),"-")</f>
        <v>5</v>
      </c>
      <c r="AF50" s="51">
        <f t="shared" ref="AF50" si="57">SUM(AB50:AE50)</f>
        <v>30</v>
      </c>
      <c r="AG50" s="49" t="s">
        <v>63</v>
      </c>
      <c r="AH50" s="51">
        <f>IFERROR(VLOOKUP(AG50,'[1]back office'!$A$23:$B$25,2,FALSE),"-")</f>
        <v>0</v>
      </c>
      <c r="AI50" s="49">
        <v>50</v>
      </c>
      <c r="AJ50" s="49">
        <v>15</v>
      </c>
      <c r="AK50" s="49">
        <f t="shared" ref="AK50" si="58">AI50</f>
        <v>50</v>
      </c>
      <c r="AL50" s="49">
        <v>15</v>
      </c>
      <c r="AM50" s="51">
        <f t="shared" ref="AM50" si="59">+SUM(AK50:AL50)</f>
        <v>65</v>
      </c>
      <c r="AN50" s="49" t="s">
        <v>64</v>
      </c>
      <c r="AO50" s="51">
        <f>IFERROR(VLOOKUP(AN50,'[1]back office'!$A$36:$B$38,2,FALSE),"-")</f>
        <v>0</v>
      </c>
    </row>
    <row r="51" spans="1:41" ht="15" customHeight="1">
      <c r="A51" s="47" t="s">
        <v>115</v>
      </c>
      <c r="B51" s="50" t="str">
        <f>IF(C51="","",IF(C51&gt;=PQCDSM!$G$4,"AA",IF(AND(C51&gt;=PQCDSM!$G$3,C51&lt;PQCDSM!$G$4),"A",IF(AND(C51&gt;=PQCDSM!$G$2,C51&lt;PQCDSM!$G$3),"B","C"))))</f>
        <v>A</v>
      </c>
      <c r="C51" s="50">
        <f t="shared" ref="C51:C66" si="60">IF(SUM(P51,W51,AF51,AH51,AM51,AO51)=0,"",SUM(P51,W51,AF51,AH51,AM51,AO51))</f>
        <v>165</v>
      </c>
      <c r="D51" s="49" t="s">
        <v>50</v>
      </c>
      <c r="E51" s="49" t="s">
        <v>73</v>
      </c>
      <c r="F51" s="49" t="s">
        <v>74</v>
      </c>
      <c r="G51" s="49" t="s">
        <v>53</v>
      </c>
      <c r="H51" s="49" t="s">
        <v>54</v>
      </c>
      <c r="I51" s="49" t="s">
        <v>55</v>
      </c>
      <c r="J51" s="50">
        <f>IFERROR(VLOOKUP(D51,'[1]back office'!$A$4:$B$6,2,FALSE),"-")</f>
        <v>25</v>
      </c>
      <c r="K51" s="50">
        <f>IFERROR(VLOOKUP(E51,'[1]back office'!$C$4:$D$6,2,FALSE),"-")</f>
        <v>0</v>
      </c>
      <c r="L51" s="50">
        <f>IFERROR(VLOOKUP(F51,'[1]back office'!$E$4:$F$6,2,FALSE),"-")</f>
        <v>15</v>
      </c>
      <c r="M51" s="50">
        <f>IFERROR(VLOOKUP(G51,'[1]back office'!$G$4:$H$6,2,FALSE),"-")</f>
        <v>15</v>
      </c>
      <c r="N51" s="50">
        <f>IFERROR(VLOOKUP(H51,'[1]back office'!$I$4:$J$6,2,FALSE),"-")</f>
        <v>0</v>
      </c>
      <c r="O51" s="50">
        <f>IFERROR(VLOOKUP(I51,'[1]back office'!$K$4:$L$6,2,FALSE),"-")</f>
        <v>35</v>
      </c>
      <c r="P51" s="51">
        <f t="shared" ref="P51:P66" si="61">SUM(J51:O51)</f>
        <v>90</v>
      </c>
      <c r="Q51" s="49" t="s">
        <v>54</v>
      </c>
      <c r="R51" s="49" t="s">
        <v>57</v>
      </c>
      <c r="S51" s="49" t="s">
        <v>58</v>
      </c>
      <c r="T51" s="50">
        <f>IFERROR(VLOOKUP(Q51,'[1]back office'!$A$11:$B$13,2,FALSE),"-")</f>
        <v>0</v>
      </c>
      <c r="U51" s="50">
        <f>IFERROR(VLOOKUP(R51,'[1]back office'!$C$11:$D$13,2,FALSE),"-")</f>
        <v>0</v>
      </c>
      <c r="V51" s="50" t="str">
        <f>IFERROR(VLOOKUP(S51,'[1]back office'!$E$11:$F$13,2,FALSE),"-")</f>
        <v>-</v>
      </c>
      <c r="W51" s="51">
        <f t="shared" ref="W51:W66" si="62">SUM(T51:V51)</f>
        <v>0</v>
      </c>
      <c r="X51" s="49" t="s">
        <v>70</v>
      </c>
      <c r="Y51" s="49" t="s">
        <v>84</v>
      </c>
      <c r="Z51" s="49" t="s">
        <v>75</v>
      </c>
      <c r="AA51" s="49" t="s">
        <v>62</v>
      </c>
      <c r="AB51" s="50" t="str">
        <f>IFERROR(VLOOKUP(X51,'[1]back office'!$A$17:$B$19,2,FALSE),"-")</f>
        <v>-</v>
      </c>
      <c r="AC51" s="50">
        <f>IFERROR(VLOOKUP(Y51,'[1]back office'!$C$17:$D$19,2,FALSE),"-")</f>
        <v>5</v>
      </c>
      <c r="AD51" s="50">
        <f>IFERROR(VLOOKUP(Z51,'[1]back office'!$E$17:$F$19,2,FALSE),"-")</f>
        <v>20</v>
      </c>
      <c r="AE51" s="50">
        <f>IFERROR(VLOOKUP(AA51,'[1]back office'!$G$17:$H$19,2,FALSE),"-")</f>
        <v>5</v>
      </c>
      <c r="AF51" s="51">
        <f t="shared" ref="AF51:AF66" si="63">SUM(AB51:AE51)</f>
        <v>30</v>
      </c>
      <c r="AG51" s="49" t="s">
        <v>63</v>
      </c>
      <c r="AH51" s="51">
        <f>IFERROR(VLOOKUP(AG51,'[1]back office'!$A$23:$B$25,2,FALSE),"-")</f>
        <v>0</v>
      </c>
      <c r="AI51" s="49">
        <v>30</v>
      </c>
      <c r="AJ51" s="49">
        <v>15</v>
      </c>
      <c r="AK51" s="49">
        <f t="shared" ref="AK51:AK66" si="64">AI51</f>
        <v>30</v>
      </c>
      <c r="AL51" s="49">
        <v>15</v>
      </c>
      <c r="AM51" s="51">
        <f t="shared" ref="AM51:AM66" si="65">+SUM(AK51:AL51)</f>
        <v>45</v>
      </c>
      <c r="AN51" s="49" t="s">
        <v>64</v>
      </c>
      <c r="AO51" s="51">
        <f>IFERROR(VLOOKUP(AN51,'[1]back office'!$A$36:$B$38,2,FALSE),"-")</f>
        <v>0</v>
      </c>
    </row>
    <row r="52" spans="1:41">
      <c r="A52" s="47" t="s">
        <v>116</v>
      </c>
      <c r="B52" s="50" t="str">
        <f>IF(C52="","",IF(C52&gt;=PQCDSM!$G$4,"AA",IF(AND(C52&gt;=PQCDSM!$G$3,C52&lt;PQCDSM!$G$4),"A",IF(AND(C52&gt;=PQCDSM!$G$2,C52&lt;PQCDSM!$G$3),"B","C"))))</f>
        <v>A</v>
      </c>
      <c r="C52" s="50">
        <f t="shared" si="60"/>
        <v>190</v>
      </c>
      <c r="D52" s="49" t="s">
        <v>50</v>
      </c>
      <c r="E52" s="49" t="s">
        <v>92</v>
      </c>
      <c r="F52" s="49" t="s">
        <v>74</v>
      </c>
      <c r="G52" s="49" t="s">
        <v>53</v>
      </c>
      <c r="H52" s="49" t="s">
        <v>54</v>
      </c>
      <c r="I52" s="49" t="s">
        <v>55</v>
      </c>
      <c r="J52" s="50">
        <f>IFERROR(VLOOKUP(D52,'[1]back office'!$A$4:$B$6,2,FALSE),"-")</f>
        <v>25</v>
      </c>
      <c r="K52" s="50">
        <f>IFERROR(VLOOKUP(E52,'[1]back office'!$C$4:$D$6,2,FALSE),"-")</f>
        <v>15</v>
      </c>
      <c r="L52" s="50">
        <f>IFERROR(VLOOKUP(F52,'[1]back office'!$E$4:$F$6,2,FALSE),"-")</f>
        <v>15</v>
      </c>
      <c r="M52" s="50">
        <f>IFERROR(VLOOKUP(G52,'[1]back office'!$G$4:$H$6,2,FALSE),"-")</f>
        <v>15</v>
      </c>
      <c r="N52" s="50">
        <f>IFERROR(VLOOKUP(H52,'[1]back office'!$I$4:$J$6,2,FALSE),"-")</f>
        <v>0</v>
      </c>
      <c r="O52" s="50">
        <f>IFERROR(VLOOKUP(I52,'[1]back office'!$K$4:$L$6,2,FALSE),"-")</f>
        <v>35</v>
      </c>
      <c r="P52" s="51">
        <f t="shared" si="61"/>
        <v>105</v>
      </c>
      <c r="Q52" s="49" t="s">
        <v>54</v>
      </c>
      <c r="R52" s="49" t="s">
        <v>57</v>
      </c>
      <c r="S52" s="49" t="s">
        <v>58</v>
      </c>
      <c r="T52" s="50">
        <f>IFERROR(VLOOKUP(Q52,'[1]back office'!$A$11:$B$13,2,FALSE),"-")</f>
        <v>0</v>
      </c>
      <c r="U52" s="50">
        <f>IFERROR(VLOOKUP(R52,'[1]back office'!$C$11:$D$13,2,FALSE),"-")</f>
        <v>0</v>
      </c>
      <c r="V52" s="50" t="str">
        <f>IFERROR(VLOOKUP(S52,'[1]back office'!$E$11:$F$13,2,FALSE),"-")</f>
        <v>-</v>
      </c>
      <c r="W52" s="51">
        <f t="shared" si="62"/>
        <v>0</v>
      </c>
      <c r="X52" s="49" t="s">
        <v>70</v>
      </c>
      <c r="Y52" s="49" t="s">
        <v>84</v>
      </c>
      <c r="Z52" s="49" t="s">
        <v>75</v>
      </c>
      <c r="AA52" s="49" t="s">
        <v>76</v>
      </c>
      <c r="AB52" s="50" t="str">
        <f>IFERROR(VLOOKUP(X52,'[1]back office'!$A$17:$B$19,2,FALSE),"-")</f>
        <v>-</v>
      </c>
      <c r="AC52" s="50">
        <f>IFERROR(VLOOKUP(Y52,'[1]back office'!$C$17:$D$19,2,FALSE),"-")</f>
        <v>5</v>
      </c>
      <c r="AD52" s="50">
        <f>IFERROR(VLOOKUP(Z52,'[1]back office'!$E$17:$F$19,2,FALSE),"-")</f>
        <v>20</v>
      </c>
      <c r="AE52" s="50">
        <f>IFERROR(VLOOKUP(AA52,'[1]back office'!$G$17:$H$19,2,FALSE),"-")</f>
        <v>0</v>
      </c>
      <c r="AF52" s="51">
        <f t="shared" si="63"/>
        <v>25</v>
      </c>
      <c r="AG52" s="49" t="s">
        <v>63</v>
      </c>
      <c r="AH52" s="51">
        <f>IFERROR(VLOOKUP(AG52,'[1]back office'!$A$23:$B$25,2,FALSE),"-")</f>
        <v>0</v>
      </c>
      <c r="AI52" s="49">
        <v>30</v>
      </c>
      <c r="AJ52" s="49">
        <v>30</v>
      </c>
      <c r="AK52" s="49">
        <f t="shared" si="64"/>
        <v>30</v>
      </c>
      <c r="AL52" s="49">
        <v>30</v>
      </c>
      <c r="AM52" s="51">
        <f t="shared" si="65"/>
        <v>60</v>
      </c>
      <c r="AN52" s="49" t="s">
        <v>64</v>
      </c>
      <c r="AO52" s="51">
        <f>IFERROR(VLOOKUP(AN52,'[1]back office'!$A$36:$B$38,2,FALSE),"-")</f>
        <v>0</v>
      </c>
    </row>
    <row r="53" spans="1:41">
      <c r="A53" s="47" t="s">
        <v>117</v>
      </c>
      <c r="B53" s="50" t="str">
        <f>IF(C53="","",IF(C53&gt;=PQCDSM!$G$4,"AA",IF(AND(C53&gt;=PQCDSM!$G$3,C53&lt;PQCDSM!$G$4),"A",IF(AND(C53&gt;=PQCDSM!$G$2,C53&lt;PQCDSM!$G$3),"B","C"))))</f>
        <v>A</v>
      </c>
      <c r="C53" s="50">
        <f t="shared" si="60"/>
        <v>195</v>
      </c>
      <c r="D53" s="49" t="s">
        <v>50</v>
      </c>
      <c r="E53" s="49" t="s">
        <v>73</v>
      </c>
      <c r="F53" s="49" t="s">
        <v>74</v>
      </c>
      <c r="G53" s="49" t="s">
        <v>53</v>
      </c>
      <c r="H53" s="49" t="s">
        <v>54</v>
      </c>
      <c r="I53" s="49" t="s">
        <v>55</v>
      </c>
      <c r="J53" s="50">
        <f>IFERROR(VLOOKUP(D53,'[1]back office'!$A$4:$B$6,2,FALSE),"-")</f>
        <v>25</v>
      </c>
      <c r="K53" s="50">
        <f>IFERROR(VLOOKUP(E53,'[1]back office'!$C$4:$D$6,2,FALSE),"-")</f>
        <v>0</v>
      </c>
      <c r="L53" s="50">
        <f>IFERROR(VLOOKUP(F53,'[1]back office'!$E$4:$F$6,2,FALSE),"-")</f>
        <v>15</v>
      </c>
      <c r="M53" s="50">
        <f>IFERROR(VLOOKUP(G53,'[1]back office'!$G$4:$H$6,2,FALSE),"-")</f>
        <v>15</v>
      </c>
      <c r="N53" s="50">
        <f>IFERROR(VLOOKUP(H53,'[1]back office'!$I$4:$J$6,2,FALSE),"-")</f>
        <v>0</v>
      </c>
      <c r="O53" s="50">
        <f>IFERROR(VLOOKUP(I53,'[1]back office'!$K$4:$L$6,2,FALSE),"-")</f>
        <v>35</v>
      </c>
      <c r="P53" s="51">
        <f t="shared" si="61"/>
        <v>90</v>
      </c>
      <c r="Q53" s="49" t="s">
        <v>56</v>
      </c>
      <c r="R53" s="49" t="s">
        <v>57</v>
      </c>
      <c r="S53" s="49" t="s">
        <v>58</v>
      </c>
      <c r="T53" s="50">
        <f>IFERROR(VLOOKUP(Q53,'[1]back office'!$A$11:$B$13,2,FALSE),"-")</f>
        <v>35</v>
      </c>
      <c r="U53" s="50">
        <f>IFERROR(VLOOKUP(R53,'[1]back office'!$C$11:$D$13,2,FALSE),"-")</f>
        <v>0</v>
      </c>
      <c r="V53" s="50" t="str">
        <f>IFERROR(VLOOKUP(S53,'[1]back office'!$E$11:$F$13,2,FALSE),"-")</f>
        <v>-</v>
      </c>
      <c r="W53" s="51">
        <f t="shared" si="62"/>
        <v>35</v>
      </c>
      <c r="X53" s="49" t="s">
        <v>70</v>
      </c>
      <c r="Y53" s="49" t="s">
        <v>84</v>
      </c>
      <c r="Z53" s="49" t="s">
        <v>75</v>
      </c>
      <c r="AA53" s="49" t="s">
        <v>76</v>
      </c>
      <c r="AB53" s="50" t="str">
        <f>IFERROR(VLOOKUP(X53,'[1]back office'!$A$17:$B$19,2,FALSE),"-")</f>
        <v>-</v>
      </c>
      <c r="AC53" s="50">
        <f>IFERROR(VLOOKUP(Y53,'[1]back office'!$C$17:$D$19,2,FALSE),"-")</f>
        <v>5</v>
      </c>
      <c r="AD53" s="50">
        <f>IFERROR(VLOOKUP(Z53,'[1]back office'!$E$17:$F$19,2,FALSE),"-")</f>
        <v>20</v>
      </c>
      <c r="AE53" s="50">
        <f>IFERROR(VLOOKUP(AA53,'[1]back office'!$G$17:$H$19,2,FALSE),"-")</f>
        <v>0</v>
      </c>
      <c r="AF53" s="51">
        <f t="shared" si="63"/>
        <v>25</v>
      </c>
      <c r="AG53" s="49" t="s">
        <v>63</v>
      </c>
      <c r="AH53" s="51">
        <f>IFERROR(VLOOKUP(AG53,'[1]back office'!$A$23:$B$25,2,FALSE),"-")</f>
        <v>0</v>
      </c>
      <c r="AI53" s="49">
        <v>30</v>
      </c>
      <c r="AJ53" s="49">
        <v>15</v>
      </c>
      <c r="AK53" s="49">
        <f t="shared" si="64"/>
        <v>30</v>
      </c>
      <c r="AL53" s="49">
        <v>15</v>
      </c>
      <c r="AM53" s="51">
        <f t="shared" si="65"/>
        <v>45</v>
      </c>
      <c r="AN53" s="49" t="s">
        <v>64</v>
      </c>
      <c r="AO53" s="51">
        <f>IFERROR(VLOOKUP(AN53,'[1]back office'!$A$36:$B$38,2,FALSE),"-")</f>
        <v>0</v>
      </c>
    </row>
    <row r="54" spans="1:41">
      <c r="A54" s="47" t="s">
        <v>118</v>
      </c>
      <c r="B54" s="50" t="str">
        <f>IF(C54="","",IF(C54&gt;=PQCDSM!$G$4,"AA",IF(AND(C54&gt;=PQCDSM!$G$3,C54&lt;PQCDSM!$G$4),"A",IF(AND(C54&gt;=PQCDSM!$G$2,C54&lt;PQCDSM!$G$3),"B","C"))))</f>
        <v>A</v>
      </c>
      <c r="C54" s="50">
        <f t="shared" si="60"/>
        <v>180</v>
      </c>
      <c r="D54" s="49" t="s">
        <v>50</v>
      </c>
      <c r="E54" s="49" t="s">
        <v>73</v>
      </c>
      <c r="F54" s="49" t="s">
        <v>74</v>
      </c>
      <c r="G54" s="49" t="s">
        <v>53</v>
      </c>
      <c r="H54" s="49" t="s">
        <v>54</v>
      </c>
      <c r="I54" s="49" t="s">
        <v>55</v>
      </c>
      <c r="J54" s="50">
        <f>IFERROR(VLOOKUP(D54,'[1]back office'!$A$4:$B$6,2,FALSE),"-")</f>
        <v>25</v>
      </c>
      <c r="K54" s="50">
        <f>IFERROR(VLOOKUP(E54,'[1]back office'!$C$4:$D$6,2,FALSE),"-")</f>
        <v>0</v>
      </c>
      <c r="L54" s="50">
        <f>IFERROR(VLOOKUP(F54,'[1]back office'!$E$4:$F$6,2,FALSE),"-")</f>
        <v>15</v>
      </c>
      <c r="M54" s="50">
        <f>IFERROR(VLOOKUP(G54,'[1]back office'!$G$4:$H$6,2,FALSE),"-")</f>
        <v>15</v>
      </c>
      <c r="N54" s="50">
        <f>IFERROR(VLOOKUP(H54,'[1]back office'!$I$4:$J$6,2,FALSE),"-")</f>
        <v>0</v>
      </c>
      <c r="O54" s="50">
        <f>IFERROR(VLOOKUP(I54,'[1]back office'!$K$4:$L$6,2,FALSE),"-")</f>
        <v>35</v>
      </c>
      <c r="P54" s="51">
        <f t="shared" si="61"/>
        <v>90</v>
      </c>
      <c r="Q54" s="49" t="s">
        <v>54</v>
      </c>
      <c r="R54" s="49" t="s">
        <v>57</v>
      </c>
      <c r="S54" s="49" t="s">
        <v>58</v>
      </c>
      <c r="T54" s="50">
        <f>IFERROR(VLOOKUP(Q54,'[1]back office'!$A$11:$B$13,2,FALSE),"-")</f>
        <v>0</v>
      </c>
      <c r="U54" s="50">
        <f>IFERROR(VLOOKUP(R54,'[1]back office'!$C$11:$D$13,2,FALSE),"-")</f>
        <v>0</v>
      </c>
      <c r="V54" s="50" t="str">
        <f>IFERROR(VLOOKUP(S54,'[1]back office'!$E$11:$F$13,2,FALSE),"-")</f>
        <v>-</v>
      </c>
      <c r="W54" s="51">
        <f t="shared" si="62"/>
        <v>0</v>
      </c>
      <c r="X54" s="49" t="s">
        <v>70</v>
      </c>
      <c r="Y54" s="49" t="s">
        <v>84</v>
      </c>
      <c r="Z54" s="49" t="s">
        <v>75</v>
      </c>
      <c r="AA54" s="49" t="s">
        <v>76</v>
      </c>
      <c r="AB54" s="50" t="str">
        <f>IFERROR(VLOOKUP(X54,'[1]back office'!$A$17:$B$19,2,FALSE),"-")</f>
        <v>-</v>
      </c>
      <c r="AC54" s="50">
        <f>IFERROR(VLOOKUP(Y54,'[1]back office'!$C$17:$D$19,2,FALSE),"-")</f>
        <v>5</v>
      </c>
      <c r="AD54" s="50">
        <f>IFERROR(VLOOKUP(Z54,'[1]back office'!$E$17:$F$19,2,FALSE),"-")</f>
        <v>20</v>
      </c>
      <c r="AE54" s="50">
        <f>IFERROR(VLOOKUP(AA54,'[1]back office'!$G$17:$H$19,2,FALSE),"-")</f>
        <v>0</v>
      </c>
      <c r="AF54" s="51">
        <f t="shared" si="63"/>
        <v>25</v>
      </c>
      <c r="AG54" s="49" t="s">
        <v>63</v>
      </c>
      <c r="AH54" s="51">
        <f>IFERROR(VLOOKUP(AG54,'[1]back office'!$A$23:$B$25,2,FALSE),"-")</f>
        <v>0</v>
      </c>
      <c r="AI54" s="49">
        <v>50</v>
      </c>
      <c r="AJ54" s="49">
        <v>15</v>
      </c>
      <c r="AK54" s="49">
        <f t="shared" si="64"/>
        <v>50</v>
      </c>
      <c r="AL54" s="49">
        <v>15</v>
      </c>
      <c r="AM54" s="51">
        <f t="shared" si="65"/>
        <v>65</v>
      </c>
      <c r="AN54" s="49" t="s">
        <v>64</v>
      </c>
      <c r="AO54" s="51">
        <f>IFERROR(VLOOKUP(AN54,'[1]back office'!$A$36:$B$38,2,FALSE),"-")</f>
        <v>0</v>
      </c>
    </row>
    <row r="55" spans="1:41">
      <c r="A55" s="47" t="s">
        <v>119</v>
      </c>
      <c r="B55" s="50" t="str">
        <f>IF(C55="","",IF(C55&gt;=PQCDSM!$G$4,"AA",IF(AND(C55&gt;=PQCDSM!$G$3,C55&lt;PQCDSM!$G$4),"A",IF(AND(C55&gt;=PQCDSM!$G$2,C55&lt;PQCDSM!$G$3),"B","C"))))</f>
        <v>A</v>
      </c>
      <c r="C55" s="50">
        <f t="shared" si="60"/>
        <v>190</v>
      </c>
      <c r="D55" s="49" t="s">
        <v>50</v>
      </c>
      <c r="E55" s="49" t="s">
        <v>73</v>
      </c>
      <c r="F55" s="49" t="s">
        <v>74</v>
      </c>
      <c r="G55" s="49" t="s">
        <v>53</v>
      </c>
      <c r="H55" s="49" t="s">
        <v>54</v>
      </c>
      <c r="I55" s="49" t="s">
        <v>55</v>
      </c>
      <c r="J55" s="50">
        <f>IFERROR(VLOOKUP(D55,'[1]back office'!$A$4:$B$6,2,FALSE),"-")</f>
        <v>25</v>
      </c>
      <c r="K55" s="50">
        <f>IFERROR(VLOOKUP(E55,'[1]back office'!$C$4:$D$6,2,FALSE),"-")</f>
        <v>0</v>
      </c>
      <c r="L55" s="50">
        <f>IFERROR(VLOOKUP(F55,'[1]back office'!$E$4:$F$6,2,FALSE),"-")</f>
        <v>15</v>
      </c>
      <c r="M55" s="50">
        <f>IFERROR(VLOOKUP(G55,'[1]back office'!$G$4:$H$6,2,FALSE),"-")</f>
        <v>15</v>
      </c>
      <c r="N55" s="50">
        <f>IFERROR(VLOOKUP(H55,'[1]back office'!$I$4:$J$6,2,FALSE),"-")</f>
        <v>0</v>
      </c>
      <c r="O55" s="50">
        <f>IFERROR(VLOOKUP(I55,'[1]back office'!$K$4:$L$6,2,FALSE),"-")</f>
        <v>35</v>
      </c>
      <c r="P55" s="51">
        <f t="shared" si="61"/>
        <v>90</v>
      </c>
      <c r="Q55" s="49" t="s">
        <v>56</v>
      </c>
      <c r="R55" s="49" t="s">
        <v>57</v>
      </c>
      <c r="S55" s="49" t="s">
        <v>58</v>
      </c>
      <c r="T55" s="50">
        <f>IFERROR(VLOOKUP(Q55,'[1]back office'!$A$11:$B$13,2,FALSE),"-")</f>
        <v>35</v>
      </c>
      <c r="U55" s="50">
        <f>IFERROR(VLOOKUP(R55,'[1]back office'!$C$11:$D$13,2,FALSE),"-")</f>
        <v>0</v>
      </c>
      <c r="V55" s="50" t="str">
        <f>IFERROR(VLOOKUP(S55,'[1]back office'!$E$11:$F$13,2,FALSE),"-")</f>
        <v>-</v>
      </c>
      <c r="W55" s="51">
        <f t="shared" si="62"/>
        <v>35</v>
      </c>
      <c r="X55" s="49" t="s">
        <v>70</v>
      </c>
      <c r="Y55" s="49" t="s">
        <v>60</v>
      </c>
      <c r="Z55" s="49" t="s">
        <v>75</v>
      </c>
      <c r="AA55" s="49" t="s">
        <v>76</v>
      </c>
      <c r="AB55" s="50" t="str">
        <f>IFERROR(VLOOKUP(X55,'[1]back office'!$A$17:$B$19,2,FALSE),"-")</f>
        <v>-</v>
      </c>
      <c r="AC55" s="50" t="str">
        <f>IFERROR(VLOOKUP(Y55,'[1]back office'!$C$17:$D$19,2,FALSE),"-")</f>
        <v>-</v>
      </c>
      <c r="AD55" s="50">
        <f>IFERROR(VLOOKUP(Z55,'[1]back office'!$E$17:$F$19,2,FALSE),"-")</f>
        <v>20</v>
      </c>
      <c r="AE55" s="50">
        <f>IFERROR(VLOOKUP(AA55,'[1]back office'!$G$17:$H$19,2,FALSE),"-")</f>
        <v>0</v>
      </c>
      <c r="AF55" s="51">
        <f t="shared" si="63"/>
        <v>20</v>
      </c>
      <c r="AG55" s="49" t="s">
        <v>63</v>
      </c>
      <c r="AH55" s="51">
        <f>IFERROR(VLOOKUP(AG55,'[1]back office'!$A$23:$B$25,2,FALSE),"-")</f>
        <v>0</v>
      </c>
      <c r="AI55" s="49">
        <v>30</v>
      </c>
      <c r="AJ55" s="49">
        <v>15</v>
      </c>
      <c r="AK55" s="49">
        <f t="shared" si="64"/>
        <v>30</v>
      </c>
      <c r="AL55" s="49">
        <v>15</v>
      </c>
      <c r="AM55" s="51">
        <f t="shared" si="65"/>
        <v>45</v>
      </c>
      <c r="AN55" s="49" t="s">
        <v>64</v>
      </c>
      <c r="AO55" s="51">
        <f>IFERROR(VLOOKUP(AN55,'[1]back office'!$A$36:$B$38,2,FALSE),"-")</f>
        <v>0</v>
      </c>
    </row>
    <row r="56" spans="1:41">
      <c r="A56" s="47" t="s">
        <v>120</v>
      </c>
      <c r="B56" s="50" t="str">
        <f>IF(C56="","",IF(C56&gt;=PQCDSM!$G$4,"AA",IF(AND(C56&gt;=PQCDSM!$G$3,C56&lt;PQCDSM!$G$4),"A",IF(AND(C56&gt;=PQCDSM!$G$2,C56&lt;PQCDSM!$G$3),"B","C"))))</f>
        <v>A</v>
      </c>
      <c r="C56" s="50">
        <f t="shared" si="60"/>
        <v>175</v>
      </c>
      <c r="D56" s="49" t="s">
        <v>50</v>
      </c>
      <c r="E56" s="49" t="s">
        <v>92</v>
      </c>
      <c r="F56" s="49" t="s">
        <v>74</v>
      </c>
      <c r="G56" s="49" t="s">
        <v>53</v>
      </c>
      <c r="H56" s="49" t="s">
        <v>54</v>
      </c>
      <c r="I56" s="49" t="s">
        <v>78</v>
      </c>
      <c r="J56" s="50">
        <f>IFERROR(VLOOKUP(D56,'[1]back office'!$A$4:$B$6,2,FALSE),"-")</f>
        <v>25</v>
      </c>
      <c r="K56" s="50">
        <f>IFERROR(VLOOKUP(E56,'[1]back office'!$C$4:$D$6,2,FALSE),"-")</f>
        <v>15</v>
      </c>
      <c r="L56" s="50">
        <f>IFERROR(VLOOKUP(F56,'[1]back office'!$E$4:$F$6,2,FALSE),"-")</f>
        <v>15</v>
      </c>
      <c r="M56" s="50">
        <f>IFERROR(VLOOKUP(G56,'[1]back office'!$G$4:$H$6,2,FALSE),"-")</f>
        <v>15</v>
      </c>
      <c r="N56" s="50">
        <f>IFERROR(VLOOKUP(H56,'[1]back office'!$I$4:$J$6,2,FALSE),"-")</f>
        <v>0</v>
      </c>
      <c r="O56" s="50" t="str">
        <f>IFERROR(VLOOKUP(I56,'[1]back office'!$K$4:$L$6,2,FALSE),"-")</f>
        <v>-</v>
      </c>
      <c r="P56" s="51">
        <f t="shared" si="61"/>
        <v>70</v>
      </c>
      <c r="Q56" s="49" t="s">
        <v>56</v>
      </c>
      <c r="R56" s="49" t="s">
        <v>57</v>
      </c>
      <c r="S56" s="49" t="s">
        <v>58</v>
      </c>
      <c r="T56" s="50">
        <f>IFERROR(VLOOKUP(Q56,'[1]back office'!$A$11:$B$13,2,FALSE),"-")</f>
        <v>35</v>
      </c>
      <c r="U56" s="50">
        <f>IFERROR(VLOOKUP(R56,'[1]back office'!$C$11:$D$13,2,FALSE),"-")</f>
        <v>0</v>
      </c>
      <c r="V56" s="50" t="str">
        <f>IFERROR(VLOOKUP(S56,'[1]back office'!$E$11:$F$13,2,FALSE),"-")</f>
        <v>-</v>
      </c>
      <c r="W56" s="51">
        <f t="shared" si="62"/>
        <v>35</v>
      </c>
      <c r="X56" s="49" t="s">
        <v>70</v>
      </c>
      <c r="Y56" s="49" t="s">
        <v>60</v>
      </c>
      <c r="Z56" s="49" t="s">
        <v>75</v>
      </c>
      <c r="AA56" s="49" t="s">
        <v>62</v>
      </c>
      <c r="AB56" s="50" t="str">
        <f>IFERROR(VLOOKUP(X56,'[1]back office'!$A$17:$B$19,2,FALSE),"-")</f>
        <v>-</v>
      </c>
      <c r="AC56" s="50" t="str">
        <f>IFERROR(VLOOKUP(Y56,'[1]back office'!$C$17:$D$19,2,FALSE),"-")</f>
        <v>-</v>
      </c>
      <c r="AD56" s="50">
        <f>IFERROR(VLOOKUP(Z56,'[1]back office'!$E$17:$F$19,2,FALSE),"-")</f>
        <v>20</v>
      </c>
      <c r="AE56" s="50">
        <f>IFERROR(VLOOKUP(AA56,'[1]back office'!$G$17:$H$19,2,FALSE),"-")</f>
        <v>5</v>
      </c>
      <c r="AF56" s="51">
        <f t="shared" si="63"/>
        <v>25</v>
      </c>
      <c r="AG56" s="49" t="s">
        <v>63</v>
      </c>
      <c r="AH56" s="51">
        <f>IFERROR(VLOOKUP(AG56,'[1]back office'!$A$23:$B$25,2,FALSE),"-")</f>
        <v>0</v>
      </c>
      <c r="AI56" s="49">
        <v>30</v>
      </c>
      <c r="AJ56" s="49">
        <v>15</v>
      </c>
      <c r="AK56" s="49">
        <f t="shared" si="64"/>
        <v>30</v>
      </c>
      <c r="AL56" s="49">
        <v>15</v>
      </c>
      <c r="AM56" s="51">
        <f t="shared" si="65"/>
        <v>45</v>
      </c>
      <c r="AN56" s="49" t="s">
        <v>64</v>
      </c>
      <c r="AO56" s="51">
        <f>IFERROR(VLOOKUP(AN56,'[1]back office'!$A$36:$B$38,2,FALSE),"-")</f>
        <v>0</v>
      </c>
    </row>
    <row r="57" spans="1:41">
      <c r="A57" s="47" t="s">
        <v>121</v>
      </c>
      <c r="B57" s="50" t="str">
        <f>IF(C57="","",IF(C57&gt;=PQCDSM!$G$4,"AA",IF(AND(C57&gt;=PQCDSM!$G$3,C57&lt;PQCDSM!$G$4),"A",IF(AND(C57&gt;=PQCDSM!$G$2,C57&lt;PQCDSM!$G$3),"B","C"))))</f>
        <v>A</v>
      </c>
      <c r="C57" s="50">
        <f t="shared" si="60"/>
        <v>175</v>
      </c>
      <c r="D57" s="49" t="s">
        <v>50</v>
      </c>
      <c r="E57" s="49" t="s">
        <v>73</v>
      </c>
      <c r="F57" s="49" t="s">
        <v>74</v>
      </c>
      <c r="G57" s="49" t="s">
        <v>53</v>
      </c>
      <c r="H57" s="49" t="s">
        <v>54</v>
      </c>
      <c r="I57" s="49" t="s">
        <v>55</v>
      </c>
      <c r="J57" s="50">
        <f>IFERROR(VLOOKUP(D57,'[1]back office'!$A$4:$B$6,2,FALSE),"-")</f>
        <v>25</v>
      </c>
      <c r="K57" s="50">
        <f>IFERROR(VLOOKUP(E57,'[1]back office'!$C$4:$D$6,2,FALSE),"-")</f>
        <v>0</v>
      </c>
      <c r="L57" s="50">
        <f>IFERROR(VLOOKUP(F57,'[1]back office'!$E$4:$F$6,2,FALSE),"-")</f>
        <v>15</v>
      </c>
      <c r="M57" s="50">
        <f>IFERROR(VLOOKUP(G57,'[1]back office'!$G$4:$H$6,2,FALSE),"-")</f>
        <v>15</v>
      </c>
      <c r="N57" s="50">
        <f>IFERROR(VLOOKUP(H57,'[1]back office'!$I$4:$J$6,2,FALSE),"-")</f>
        <v>0</v>
      </c>
      <c r="O57" s="50">
        <f>IFERROR(VLOOKUP(I57,'[1]back office'!$K$4:$L$6,2,FALSE),"-")</f>
        <v>35</v>
      </c>
      <c r="P57" s="51">
        <f t="shared" si="61"/>
        <v>90</v>
      </c>
      <c r="Q57" s="49" t="s">
        <v>54</v>
      </c>
      <c r="R57" s="49" t="s">
        <v>57</v>
      </c>
      <c r="S57" s="49" t="s">
        <v>58</v>
      </c>
      <c r="T57" s="50">
        <f>IFERROR(VLOOKUP(Q57,'[1]back office'!$A$11:$B$13,2,FALSE),"-")</f>
        <v>0</v>
      </c>
      <c r="U57" s="50">
        <f>IFERROR(VLOOKUP(R57,'[1]back office'!$C$11:$D$13,2,FALSE),"-")</f>
        <v>0</v>
      </c>
      <c r="V57" s="50" t="str">
        <f>IFERROR(VLOOKUP(S57,'[1]back office'!$E$11:$F$13,2,FALSE),"-")</f>
        <v>-</v>
      </c>
      <c r="W57" s="51">
        <f t="shared" si="62"/>
        <v>0</v>
      </c>
      <c r="X57" s="49" t="s">
        <v>70</v>
      </c>
      <c r="Y57" s="49" t="s">
        <v>60</v>
      </c>
      <c r="Z57" s="49" t="s">
        <v>75</v>
      </c>
      <c r="AA57" s="49" t="s">
        <v>62</v>
      </c>
      <c r="AB57" s="50" t="str">
        <f>IFERROR(VLOOKUP(X57,'[1]back office'!$A$17:$B$19,2,FALSE),"-")</f>
        <v>-</v>
      </c>
      <c r="AC57" s="50" t="str">
        <f>IFERROR(VLOOKUP(Y57,'[1]back office'!$C$17:$D$19,2,FALSE),"-")</f>
        <v>-</v>
      </c>
      <c r="AD57" s="50">
        <f>IFERROR(VLOOKUP(Z57,'[1]back office'!$E$17:$F$19,2,FALSE),"-")</f>
        <v>20</v>
      </c>
      <c r="AE57" s="50">
        <f>IFERROR(VLOOKUP(AA57,'[1]back office'!$G$17:$H$19,2,FALSE),"-")</f>
        <v>5</v>
      </c>
      <c r="AF57" s="51">
        <f t="shared" si="63"/>
        <v>25</v>
      </c>
      <c r="AG57" s="49" t="s">
        <v>63</v>
      </c>
      <c r="AH57" s="51">
        <f>IFERROR(VLOOKUP(AG57,'[1]back office'!$A$23:$B$25,2,FALSE),"-")</f>
        <v>0</v>
      </c>
      <c r="AI57" s="49">
        <v>30</v>
      </c>
      <c r="AJ57" s="49">
        <v>30</v>
      </c>
      <c r="AK57" s="49">
        <f t="shared" si="64"/>
        <v>30</v>
      </c>
      <c r="AL57" s="49">
        <v>30</v>
      </c>
      <c r="AM57" s="51">
        <f t="shared" si="65"/>
        <v>60</v>
      </c>
      <c r="AN57" s="49" t="s">
        <v>64</v>
      </c>
      <c r="AO57" s="51">
        <f>IFERROR(VLOOKUP(AN57,'[1]back office'!$A$36:$B$38,2,FALSE),"-")</f>
        <v>0</v>
      </c>
    </row>
    <row r="58" spans="1:41">
      <c r="A58" s="47" t="s">
        <v>122</v>
      </c>
      <c r="B58" s="50" t="str">
        <f>IF(C58="","",IF(C58&gt;=PQCDSM!$G$4,"AA",IF(AND(C58&gt;=PQCDSM!$G$3,C58&lt;PQCDSM!$G$4),"A",IF(AND(C58&gt;=PQCDSM!$G$2,C58&lt;PQCDSM!$G$3),"B","C"))))</f>
        <v>A</v>
      </c>
      <c r="C58" s="50">
        <f t="shared" si="60"/>
        <v>180</v>
      </c>
      <c r="D58" s="49" t="s">
        <v>50</v>
      </c>
      <c r="E58" s="49" t="s">
        <v>73</v>
      </c>
      <c r="F58" s="49" t="s">
        <v>74</v>
      </c>
      <c r="G58" s="49" t="s">
        <v>53</v>
      </c>
      <c r="H58" s="49" t="s">
        <v>54</v>
      </c>
      <c r="I58" s="49" t="s">
        <v>55</v>
      </c>
      <c r="J58" s="50">
        <f>IFERROR(VLOOKUP(D58,'[1]back office'!$A$4:$B$6,2,FALSE),"-")</f>
        <v>25</v>
      </c>
      <c r="K58" s="50">
        <f>IFERROR(VLOOKUP(E58,'[1]back office'!$C$4:$D$6,2,FALSE),"-")</f>
        <v>0</v>
      </c>
      <c r="L58" s="50">
        <f>IFERROR(VLOOKUP(F58,'[1]back office'!$E$4:$F$6,2,FALSE),"-")</f>
        <v>15</v>
      </c>
      <c r="M58" s="50">
        <f>IFERROR(VLOOKUP(G58,'[1]back office'!$G$4:$H$6,2,FALSE),"-")</f>
        <v>15</v>
      </c>
      <c r="N58" s="50">
        <f>IFERROR(VLOOKUP(H58,'[1]back office'!$I$4:$J$6,2,FALSE),"-")</f>
        <v>0</v>
      </c>
      <c r="O58" s="50">
        <f>IFERROR(VLOOKUP(I58,'[1]back office'!$K$4:$L$6,2,FALSE),"-")</f>
        <v>35</v>
      </c>
      <c r="P58" s="51">
        <f t="shared" si="61"/>
        <v>90</v>
      </c>
      <c r="Q58" s="49" t="s">
        <v>54</v>
      </c>
      <c r="R58" s="49" t="s">
        <v>57</v>
      </c>
      <c r="S58" s="49" t="s">
        <v>58</v>
      </c>
      <c r="T58" s="50">
        <f>IFERROR(VLOOKUP(Q58,'[1]back office'!$A$11:$B$13,2,FALSE),"-")</f>
        <v>0</v>
      </c>
      <c r="U58" s="50">
        <f>IFERROR(VLOOKUP(R58,'[1]back office'!$C$11:$D$13,2,FALSE),"-")</f>
        <v>0</v>
      </c>
      <c r="V58" s="50" t="str">
        <f>IFERROR(VLOOKUP(S58,'[1]back office'!$E$11:$F$13,2,FALSE),"-")</f>
        <v>-</v>
      </c>
      <c r="W58" s="51">
        <f t="shared" si="62"/>
        <v>0</v>
      </c>
      <c r="X58" s="49" t="s">
        <v>70</v>
      </c>
      <c r="Y58" s="49" t="s">
        <v>84</v>
      </c>
      <c r="Z58" s="49" t="s">
        <v>75</v>
      </c>
      <c r="AA58" s="49" t="s">
        <v>76</v>
      </c>
      <c r="AB58" s="50" t="str">
        <f>IFERROR(VLOOKUP(X58,'[1]back office'!$A$17:$B$19,2,FALSE),"-")</f>
        <v>-</v>
      </c>
      <c r="AC58" s="50">
        <f>IFERROR(VLOOKUP(Y58,'[1]back office'!$C$17:$D$19,2,FALSE),"-")</f>
        <v>5</v>
      </c>
      <c r="AD58" s="50">
        <f>IFERROR(VLOOKUP(Z58,'[1]back office'!$E$17:$F$19,2,FALSE),"-")</f>
        <v>20</v>
      </c>
      <c r="AE58" s="50">
        <f>IFERROR(VLOOKUP(AA58,'[1]back office'!$G$17:$H$19,2,FALSE),"-")</f>
        <v>0</v>
      </c>
      <c r="AF58" s="51">
        <f t="shared" si="63"/>
        <v>25</v>
      </c>
      <c r="AG58" s="49" t="s">
        <v>63</v>
      </c>
      <c r="AH58" s="51">
        <f>IFERROR(VLOOKUP(AG58,'[1]back office'!$A$23:$B$25,2,FALSE),"-")</f>
        <v>0</v>
      </c>
      <c r="AI58" s="49">
        <v>50</v>
      </c>
      <c r="AJ58" s="49">
        <v>15</v>
      </c>
      <c r="AK58" s="49">
        <f t="shared" si="64"/>
        <v>50</v>
      </c>
      <c r="AL58" s="49">
        <v>15</v>
      </c>
      <c r="AM58" s="51">
        <f t="shared" si="65"/>
        <v>65</v>
      </c>
      <c r="AN58" s="49" t="s">
        <v>64</v>
      </c>
      <c r="AO58" s="51">
        <f>IFERROR(VLOOKUP(AN58,'[1]back office'!$A$36:$B$38,2,FALSE),"-")</f>
        <v>0</v>
      </c>
    </row>
    <row r="59" spans="1:41">
      <c r="A59" s="47" t="s">
        <v>123</v>
      </c>
      <c r="B59" s="50" t="str">
        <f>IF(C59="","",IF(C59&gt;=PQCDSM!$G$4,"AA",IF(AND(C59&gt;=PQCDSM!$G$3,C59&lt;PQCDSM!$G$4),"A",IF(AND(C59&gt;=PQCDSM!$G$2,C59&lt;PQCDSM!$G$3),"B","C"))))</f>
        <v>A</v>
      </c>
      <c r="C59" s="50">
        <f t="shared" si="60"/>
        <v>165</v>
      </c>
      <c r="D59" s="49" t="s">
        <v>50</v>
      </c>
      <c r="E59" s="49" t="s">
        <v>73</v>
      </c>
      <c r="F59" s="49" t="s">
        <v>74</v>
      </c>
      <c r="G59" s="49" t="s">
        <v>53</v>
      </c>
      <c r="H59" s="49" t="s">
        <v>54</v>
      </c>
      <c r="I59" s="49" t="s">
        <v>55</v>
      </c>
      <c r="J59" s="50">
        <f>IFERROR(VLOOKUP(D59,'[1]back office'!$A$4:$B$6,2,FALSE),"-")</f>
        <v>25</v>
      </c>
      <c r="K59" s="50">
        <f>IFERROR(VLOOKUP(E59,'[1]back office'!$C$4:$D$6,2,FALSE),"-")</f>
        <v>0</v>
      </c>
      <c r="L59" s="50">
        <f>IFERROR(VLOOKUP(F59,'[1]back office'!$E$4:$F$6,2,FALSE),"-")</f>
        <v>15</v>
      </c>
      <c r="M59" s="50">
        <f>IFERROR(VLOOKUP(G59,'[1]back office'!$G$4:$H$6,2,FALSE),"-")</f>
        <v>15</v>
      </c>
      <c r="N59" s="50">
        <f>IFERROR(VLOOKUP(H59,'[1]back office'!$I$4:$J$6,2,FALSE),"-")</f>
        <v>0</v>
      </c>
      <c r="O59" s="50">
        <f>IFERROR(VLOOKUP(I59,'[1]back office'!$K$4:$L$6,2,FALSE),"-")</f>
        <v>35</v>
      </c>
      <c r="P59" s="51">
        <f t="shared" si="61"/>
        <v>90</v>
      </c>
      <c r="Q59" s="49" t="s">
        <v>54</v>
      </c>
      <c r="R59" s="49" t="s">
        <v>57</v>
      </c>
      <c r="S59" s="49" t="s">
        <v>58</v>
      </c>
      <c r="T59" s="50">
        <f>IFERROR(VLOOKUP(Q59,'[1]back office'!$A$11:$B$13,2,FALSE),"-")</f>
        <v>0</v>
      </c>
      <c r="U59" s="50">
        <f>IFERROR(VLOOKUP(R59,'[1]back office'!$C$11:$D$13,2,FALSE),"-")</f>
        <v>0</v>
      </c>
      <c r="V59" s="50" t="str">
        <f>IFERROR(VLOOKUP(S59,'[1]back office'!$E$11:$F$13,2,FALSE),"-")</f>
        <v>-</v>
      </c>
      <c r="W59" s="51">
        <f t="shared" si="62"/>
        <v>0</v>
      </c>
      <c r="X59" s="49" t="s">
        <v>70</v>
      </c>
      <c r="Y59" s="49" t="s">
        <v>84</v>
      </c>
      <c r="Z59" s="49" t="s">
        <v>75</v>
      </c>
      <c r="AA59" s="49" t="s">
        <v>62</v>
      </c>
      <c r="AB59" s="50" t="str">
        <f>IFERROR(VLOOKUP(X59,'[1]back office'!$A$17:$B$19,2,FALSE),"-")</f>
        <v>-</v>
      </c>
      <c r="AC59" s="50">
        <f>IFERROR(VLOOKUP(Y59,'[1]back office'!$C$17:$D$19,2,FALSE),"-")</f>
        <v>5</v>
      </c>
      <c r="AD59" s="50">
        <f>IFERROR(VLOOKUP(Z59,'[1]back office'!$E$17:$F$19,2,FALSE),"-")</f>
        <v>20</v>
      </c>
      <c r="AE59" s="50">
        <f>IFERROR(VLOOKUP(AA59,'[1]back office'!$G$17:$H$19,2,FALSE),"-")</f>
        <v>5</v>
      </c>
      <c r="AF59" s="51">
        <f t="shared" si="63"/>
        <v>30</v>
      </c>
      <c r="AG59" s="49" t="s">
        <v>63</v>
      </c>
      <c r="AH59" s="51">
        <f>IFERROR(VLOOKUP(AG59,'[1]back office'!$A$23:$B$25,2,FALSE),"-")</f>
        <v>0</v>
      </c>
      <c r="AI59" s="49">
        <v>30</v>
      </c>
      <c r="AJ59" s="49">
        <v>15</v>
      </c>
      <c r="AK59" s="49">
        <f t="shared" si="64"/>
        <v>30</v>
      </c>
      <c r="AL59" s="49">
        <v>15</v>
      </c>
      <c r="AM59" s="51">
        <f t="shared" si="65"/>
        <v>45</v>
      </c>
      <c r="AN59" s="49" t="s">
        <v>64</v>
      </c>
      <c r="AO59" s="51">
        <f>IFERROR(VLOOKUP(AN59,'[1]back office'!$A$36:$B$38,2,FALSE),"-")</f>
        <v>0</v>
      </c>
    </row>
    <row r="60" spans="1:41">
      <c r="A60" s="47" t="s">
        <v>124</v>
      </c>
      <c r="B60" s="50" t="str">
        <f>IF(C60="","",IF(C60&gt;=PQCDSM!$G$4,"AA",IF(AND(C60&gt;=PQCDSM!$G$3,C60&lt;PQCDSM!$G$4),"A",IF(AND(C60&gt;=PQCDSM!$G$2,C60&lt;PQCDSM!$G$3),"B","C"))))</f>
        <v>A</v>
      </c>
      <c r="C60" s="50">
        <f t="shared" si="60"/>
        <v>175</v>
      </c>
      <c r="D60" s="49" t="s">
        <v>50</v>
      </c>
      <c r="E60" s="49" t="s">
        <v>73</v>
      </c>
      <c r="F60" s="49" t="s">
        <v>74</v>
      </c>
      <c r="G60" s="49" t="s">
        <v>53</v>
      </c>
      <c r="H60" s="49" t="s">
        <v>54</v>
      </c>
      <c r="I60" s="49" t="s">
        <v>55</v>
      </c>
      <c r="J60" s="50">
        <f>IFERROR(VLOOKUP(D60,'[1]back office'!$A$4:$B$6,2,FALSE),"-")</f>
        <v>25</v>
      </c>
      <c r="K60" s="50">
        <f>IFERROR(VLOOKUP(E60,'[1]back office'!$C$4:$D$6,2,FALSE),"-")</f>
        <v>0</v>
      </c>
      <c r="L60" s="50">
        <f>IFERROR(VLOOKUP(F60,'[1]back office'!$E$4:$F$6,2,FALSE),"-")</f>
        <v>15</v>
      </c>
      <c r="M60" s="50">
        <f>IFERROR(VLOOKUP(G60,'[1]back office'!$G$4:$H$6,2,FALSE),"-")</f>
        <v>15</v>
      </c>
      <c r="N60" s="50">
        <f>IFERROR(VLOOKUP(H60,'[1]back office'!$I$4:$J$6,2,FALSE),"-")</f>
        <v>0</v>
      </c>
      <c r="O60" s="50">
        <f>IFERROR(VLOOKUP(I60,'[1]back office'!$K$4:$L$6,2,FALSE),"-")</f>
        <v>35</v>
      </c>
      <c r="P60" s="51">
        <f t="shared" si="61"/>
        <v>90</v>
      </c>
      <c r="Q60" s="49" t="s">
        <v>54</v>
      </c>
      <c r="R60" s="49" t="s">
        <v>57</v>
      </c>
      <c r="S60" s="49" t="s">
        <v>58</v>
      </c>
      <c r="T60" s="50">
        <f>IFERROR(VLOOKUP(Q60,'[1]back office'!$A$11:$B$13,2,FALSE),"-")</f>
        <v>0</v>
      </c>
      <c r="U60" s="50">
        <f>IFERROR(VLOOKUP(R60,'[1]back office'!$C$11:$D$13,2,FALSE),"-")</f>
        <v>0</v>
      </c>
      <c r="V60" s="50" t="str">
        <f>IFERROR(VLOOKUP(S60,'[1]back office'!$E$11:$F$13,2,FALSE),"-")</f>
        <v>-</v>
      </c>
      <c r="W60" s="51">
        <f t="shared" si="62"/>
        <v>0</v>
      </c>
      <c r="X60" s="49" t="s">
        <v>70</v>
      </c>
      <c r="Y60" s="49" t="s">
        <v>84</v>
      </c>
      <c r="Z60" s="49" t="s">
        <v>75</v>
      </c>
      <c r="AA60" s="49" t="s">
        <v>76</v>
      </c>
      <c r="AB60" s="50" t="str">
        <f>IFERROR(VLOOKUP(X60,'[1]back office'!$A$17:$B$19,2,FALSE),"-")</f>
        <v>-</v>
      </c>
      <c r="AC60" s="50">
        <f>IFERROR(VLOOKUP(Y60,'[1]back office'!$C$17:$D$19,2,FALSE),"-")</f>
        <v>5</v>
      </c>
      <c r="AD60" s="50">
        <f>IFERROR(VLOOKUP(Z60,'[1]back office'!$E$17:$F$19,2,FALSE),"-")</f>
        <v>20</v>
      </c>
      <c r="AE60" s="50">
        <f>IFERROR(VLOOKUP(AA60,'[1]back office'!$G$17:$H$19,2,FALSE),"-")</f>
        <v>0</v>
      </c>
      <c r="AF60" s="51">
        <f t="shared" si="63"/>
        <v>25</v>
      </c>
      <c r="AG60" s="49" t="s">
        <v>63</v>
      </c>
      <c r="AH60" s="51">
        <f>IFERROR(VLOOKUP(AG60,'[1]back office'!$A$23:$B$25,2,FALSE),"-")</f>
        <v>0</v>
      </c>
      <c r="AI60" s="49">
        <v>30</v>
      </c>
      <c r="AJ60" s="49">
        <v>30</v>
      </c>
      <c r="AK60" s="49">
        <f t="shared" si="64"/>
        <v>30</v>
      </c>
      <c r="AL60" s="49">
        <v>30</v>
      </c>
      <c r="AM60" s="51">
        <f t="shared" si="65"/>
        <v>60</v>
      </c>
      <c r="AN60" s="49" t="s">
        <v>64</v>
      </c>
      <c r="AO60" s="51">
        <f>IFERROR(VLOOKUP(AN60,'[1]back office'!$A$36:$B$38,2,FALSE),"-")</f>
        <v>0</v>
      </c>
    </row>
    <row r="61" spans="1:41">
      <c r="A61" s="47" t="s">
        <v>125</v>
      </c>
      <c r="B61" s="50" t="str">
        <f>IF(C61="","",IF(C61&gt;=PQCDSM!$G$4,"AA",IF(AND(C61&gt;=PQCDSM!$G$3,C61&lt;PQCDSM!$G$4),"A",IF(AND(C61&gt;=PQCDSM!$G$2,C61&lt;PQCDSM!$G$3),"B","C"))))</f>
        <v>A</v>
      </c>
      <c r="C61" s="50">
        <f t="shared" si="60"/>
        <v>195</v>
      </c>
      <c r="D61" s="49" t="s">
        <v>50</v>
      </c>
      <c r="E61" s="49" t="s">
        <v>73</v>
      </c>
      <c r="F61" s="49" t="s">
        <v>74</v>
      </c>
      <c r="G61" s="49" t="s">
        <v>53</v>
      </c>
      <c r="H61" s="49" t="s">
        <v>54</v>
      </c>
      <c r="I61" s="49" t="s">
        <v>55</v>
      </c>
      <c r="J61" s="50">
        <f>IFERROR(VLOOKUP(D61,'[1]back office'!$A$4:$B$6,2,FALSE),"-")</f>
        <v>25</v>
      </c>
      <c r="K61" s="50">
        <f>IFERROR(VLOOKUP(E61,'[1]back office'!$C$4:$D$6,2,FALSE),"-")</f>
        <v>0</v>
      </c>
      <c r="L61" s="50">
        <f>IFERROR(VLOOKUP(F61,'[1]back office'!$E$4:$F$6,2,FALSE),"-")</f>
        <v>15</v>
      </c>
      <c r="M61" s="50">
        <f>IFERROR(VLOOKUP(G61,'[1]back office'!$G$4:$H$6,2,FALSE),"-")</f>
        <v>15</v>
      </c>
      <c r="N61" s="50">
        <f>IFERROR(VLOOKUP(H61,'[1]back office'!$I$4:$J$6,2,FALSE),"-")</f>
        <v>0</v>
      </c>
      <c r="O61" s="50">
        <f>IFERROR(VLOOKUP(I61,'[1]back office'!$K$4:$L$6,2,FALSE),"-")</f>
        <v>35</v>
      </c>
      <c r="P61" s="51">
        <f t="shared" si="61"/>
        <v>90</v>
      </c>
      <c r="Q61" s="49" t="s">
        <v>56</v>
      </c>
      <c r="R61" s="49" t="s">
        <v>57</v>
      </c>
      <c r="S61" s="49" t="s">
        <v>58</v>
      </c>
      <c r="T61" s="50">
        <f>IFERROR(VLOOKUP(Q61,'[1]back office'!$A$11:$B$13,2,FALSE),"-")</f>
        <v>35</v>
      </c>
      <c r="U61" s="50">
        <f>IFERROR(VLOOKUP(R61,'[1]back office'!$C$11:$D$13,2,FALSE),"-")</f>
        <v>0</v>
      </c>
      <c r="V61" s="50" t="str">
        <f>IFERROR(VLOOKUP(S61,'[1]back office'!$E$11:$F$13,2,FALSE),"-")</f>
        <v>-</v>
      </c>
      <c r="W61" s="51">
        <f t="shared" si="62"/>
        <v>35</v>
      </c>
      <c r="X61" s="49" t="s">
        <v>70</v>
      </c>
      <c r="Y61" s="49" t="s">
        <v>84</v>
      </c>
      <c r="Z61" s="49" t="s">
        <v>75</v>
      </c>
      <c r="AA61" s="49" t="s">
        <v>76</v>
      </c>
      <c r="AB61" s="50" t="str">
        <f>IFERROR(VLOOKUP(X61,'[1]back office'!$A$17:$B$19,2,FALSE),"-")</f>
        <v>-</v>
      </c>
      <c r="AC61" s="50">
        <f>IFERROR(VLOOKUP(Y61,'[1]back office'!$C$17:$D$19,2,FALSE),"-")</f>
        <v>5</v>
      </c>
      <c r="AD61" s="50">
        <f>IFERROR(VLOOKUP(Z61,'[1]back office'!$E$17:$F$19,2,FALSE),"-")</f>
        <v>20</v>
      </c>
      <c r="AE61" s="50">
        <f>IFERROR(VLOOKUP(AA61,'[1]back office'!$G$17:$H$19,2,FALSE),"-")</f>
        <v>0</v>
      </c>
      <c r="AF61" s="51">
        <f t="shared" si="63"/>
        <v>25</v>
      </c>
      <c r="AG61" s="49" t="s">
        <v>63</v>
      </c>
      <c r="AH61" s="51">
        <f>IFERROR(VLOOKUP(AG61,'[1]back office'!$A$23:$B$25,2,FALSE),"-")</f>
        <v>0</v>
      </c>
      <c r="AI61" s="49">
        <v>30</v>
      </c>
      <c r="AJ61" s="49">
        <v>15</v>
      </c>
      <c r="AK61" s="49">
        <f t="shared" si="64"/>
        <v>30</v>
      </c>
      <c r="AL61" s="49">
        <v>15</v>
      </c>
      <c r="AM61" s="51">
        <f t="shared" si="65"/>
        <v>45</v>
      </c>
      <c r="AN61" s="49" t="s">
        <v>64</v>
      </c>
      <c r="AO61" s="51">
        <f>IFERROR(VLOOKUP(AN61,'[1]back office'!$A$36:$B$38,2,FALSE),"-")</f>
        <v>0</v>
      </c>
    </row>
    <row r="62" spans="1:41">
      <c r="A62" s="47" t="s">
        <v>126</v>
      </c>
      <c r="B62" s="50" t="str">
        <f>IF(C62="","",IF(C62&gt;=PQCDSM!$G$4,"AA",IF(AND(C62&gt;=PQCDSM!$G$3,C62&lt;PQCDSM!$G$4),"A",IF(AND(C62&gt;=PQCDSM!$G$2,C62&lt;PQCDSM!$G$3),"B","C"))))</f>
        <v>A</v>
      </c>
      <c r="C62" s="50">
        <f t="shared" si="60"/>
        <v>180</v>
      </c>
      <c r="D62" s="49" t="s">
        <v>50</v>
      </c>
      <c r="E62" s="49" t="s">
        <v>73</v>
      </c>
      <c r="F62" s="49" t="s">
        <v>74</v>
      </c>
      <c r="G62" s="49" t="s">
        <v>53</v>
      </c>
      <c r="H62" s="49" t="s">
        <v>54</v>
      </c>
      <c r="I62" s="49" t="s">
        <v>55</v>
      </c>
      <c r="J62" s="50">
        <f>IFERROR(VLOOKUP(D62,'[1]back office'!$A$4:$B$6,2,FALSE),"-")</f>
        <v>25</v>
      </c>
      <c r="K62" s="50">
        <f>IFERROR(VLOOKUP(E62,'[1]back office'!$C$4:$D$6,2,FALSE),"-")</f>
        <v>0</v>
      </c>
      <c r="L62" s="50">
        <f>IFERROR(VLOOKUP(F62,'[1]back office'!$E$4:$F$6,2,FALSE),"-")</f>
        <v>15</v>
      </c>
      <c r="M62" s="50">
        <f>IFERROR(VLOOKUP(G62,'[1]back office'!$G$4:$H$6,2,FALSE),"-")</f>
        <v>15</v>
      </c>
      <c r="N62" s="50">
        <f>IFERROR(VLOOKUP(H62,'[1]back office'!$I$4:$J$6,2,FALSE),"-")</f>
        <v>0</v>
      </c>
      <c r="O62" s="50">
        <f>IFERROR(VLOOKUP(I62,'[1]back office'!$K$4:$L$6,2,FALSE),"-")</f>
        <v>35</v>
      </c>
      <c r="P62" s="51">
        <f t="shared" si="61"/>
        <v>90</v>
      </c>
      <c r="Q62" s="49" t="s">
        <v>54</v>
      </c>
      <c r="R62" s="49" t="s">
        <v>57</v>
      </c>
      <c r="S62" s="49" t="s">
        <v>58</v>
      </c>
      <c r="T62" s="50">
        <f>IFERROR(VLOOKUP(Q62,'[1]back office'!$A$11:$B$13,2,FALSE),"-")</f>
        <v>0</v>
      </c>
      <c r="U62" s="50">
        <f>IFERROR(VLOOKUP(R62,'[1]back office'!$C$11:$D$13,2,FALSE),"-")</f>
        <v>0</v>
      </c>
      <c r="V62" s="50" t="str">
        <f>IFERROR(VLOOKUP(S62,'[1]back office'!$E$11:$F$13,2,FALSE),"-")</f>
        <v>-</v>
      </c>
      <c r="W62" s="51">
        <f t="shared" si="62"/>
        <v>0</v>
      </c>
      <c r="X62" s="49" t="s">
        <v>70</v>
      </c>
      <c r="Y62" s="49" t="s">
        <v>84</v>
      </c>
      <c r="Z62" s="49" t="s">
        <v>75</v>
      </c>
      <c r="AA62" s="49" t="s">
        <v>76</v>
      </c>
      <c r="AB62" s="50" t="str">
        <f>IFERROR(VLOOKUP(X62,'[1]back office'!$A$17:$B$19,2,FALSE),"-")</f>
        <v>-</v>
      </c>
      <c r="AC62" s="50">
        <f>IFERROR(VLOOKUP(Y62,'[1]back office'!$C$17:$D$19,2,FALSE),"-")</f>
        <v>5</v>
      </c>
      <c r="AD62" s="50">
        <f>IFERROR(VLOOKUP(Z62,'[1]back office'!$E$17:$F$19,2,FALSE),"-")</f>
        <v>20</v>
      </c>
      <c r="AE62" s="50">
        <f>IFERROR(VLOOKUP(AA62,'[1]back office'!$G$17:$H$19,2,FALSE),"-")</f>
        <v>0</v>
      </c>
      <c r="AF62" s="51">
        <f t="shared" si="63"/>
        <v>25</v>
      </c>
      <c r="AG62" s="49" t="s">
        <v>63</v>
      </c>
      <c r="AH62" s="51">
        <f>IFERROR(VLOOKUP(AG62,'[1]back office'!$A$23:$B$25,2,FALSE),"-")</f>
        <v>0</v>
      </c>
      <c r="AI62" s="49">
        <v>50</v>
      </c>
      <c r="AJ62" s="49">
        <v>15</v>
      </c>
      <c r="AK62" s="49">
        <f t="shared" si="64"/>
        <v>50</v>
      </c>
      <c r="AL62" s="49">
        <v>15</v>
      </c>
      <c r="AM62" s="51">
        <f t="shared" si="65"/>
        <v>65</v>
      </c>
      <c r="AN62" s="49" t="s">
        <v>64</v>
      </c>
      <c r="AO62" s="51">
        <f>IFERROR(VLOOKUP(AN62,'[1]back office'!$A$36:$B$38,2,FALSE),"-")</f>
        <v>0</v>
      </c>
    </row>
    <row r="63" spans="1:41">
      <c r="A63" s="47" t="s">
        <v>127</v>
      </c>
      <c r="B63" s="50" t="str">
        <f>IF(C63="","",IF(C63&gt;=PQCDSM!$G$4,"AA",IF(AND(C63&gt;=PQCDSM!$G$3,C63&lt;PQCDSM!$G$4),"A",IF(AND(C63&gt;=PQCDSM!$G$2,C63&lt;PQCDSM!$G$3),"B","C"))))</f>
        <v>A</v>
      </c>
      <c r="C63" s="50">
        <f t="shared" si="60"/>
        <v>210</v>
      </c>
      <c r="D63" s="49" t="s">
        <v>50</v>
      </c>
      <c r="E63" s="49" t="s">
        <v>92</v>
      </c>
      <c r="F63" s="49" t="s">
        <v>74</v>
      </c>
      <c r="G63" s="49" t="s">
        <v>53</v>
      </c>
      <c r="H63" s="49" t="s">
        <v>54</v>
      </c>
      <c r="I63" s="49" t="s">
        <v>55</v>
      </c>
      <c r="J63" s="50">
        <f>IFERROR(VLOOKUP(D63,'[1]back office'!$A$4:$B$6,2,FALSE),"-")</f>
        <v>25</v>
      </c>
      <c r="K63" s="50">
        <f>IFERROR(VLOOKUP(E63,'[1]back office'!$C$4:$D$6,2,FALSE),"-")</f>
        <v>15</v>
      </c>
      <c r="L63" s="50">
        <f>IFERROR(VLOOKUP(F63,'[1]back office'!$E$4:$F$6,2,FALSE),"-")</f>
        <v>15</v>
      </c>
      <c r="M63" s="50">
        <f>IFERROR(VLOOKUP(G63,'[1]back office'!$G$4:$H$6,2,FALSE),"-")</f>
        <v>15</v>
      </c>
      <c r="N63" s="50">
        <f>IFERROR(VLOOKUP(H63,'[1]back office'!$I$4:$J$6,2,FALSE),"-")</f>
        <v>0</v>
      </c>
      <c r="O63" s="50">
        <f>IFERROR(VLOOKUP(I63,'[1]back office'!$K$4:$L$6,2,FALSE),"-")</f>
        <v>35</v>
      </c>
      <c r="P63" s="51">
        <f t="shared" si="61"/>
        <v>105</v>
      </c>
      <c r="Q63" s="49" t="s">
        <v>56</v>
      </c>
      <c r="R63" s="49" t="s">
        <v>57</v>
      </c>
      <c r="S63" s="49" t="s">
        <v>58</v>
      </c>
      <c r="T63" s="50">
        <f>IFERROR(VLOOKUP(Q63,'[1]back office'!$A$11:$B$13,2,FALSE),"-")</f>
        <v>35</v>
      </c>
      <c r="U63" s="50">
        <f>IFERROR(VLOOKUP(R63,'[1]back office'!$C$11:$D$13,2,FALSE),"-")</f>
        <v>0</v>
      </c>
      <c r="V63" s="50" t="str">
        <f>IFERROR(VLOOKUP(S63,'[1]back office'!$E$11:$F$13,2,FALSE),"-")</f>
        <v>-</v>
      </c>
      <c r="W63" s="51">
        <f t="shared" si="62"/>
        <v>35</v>
      </c>
      <c r="X63" s="49" t="s">
        <v>70</v>
      </c>
      <c r="Y63" s="49" t="s">
        <v>84</v>
      </c>
      <c r="Z63" s="49" t="s">
        <v>75</v>
      </c>
      <c r="AA63" s="49" t="s">
        <v>76</v>
      </c>
      <c r="AB63" s="50" t="str">
        <f>IFERROR(VLOOKUP(X63,'[1]back office'!$A$17:$B$19,2,FALSE),"-")</f>
        <v>-</v>
      </c>
      <c r="AC63" s="50">
        <f>IFERROR(VLOOKUP(Y63,'[1]back office'!$C$17:$D$19,2,FALSE),"-")</f>
        <v>5</v>
      </c>
      <c r="AD63" s="50">
        <f>IFERROR(VLOOKUP(Z63,'[1]back office'!$E$17:$F$19,2,FALSE),"-")</f>
        <v>20</v>
      </c>
      <c r="AE63" s="50">
        <f>IFERROR(VLOOKUP(AA63,'[1]back office'!$G$17:$H$19,2,FALSE),"-")</f>
        <v>0</v>
      </c>
      <c r="AF63" s="51">
        <f t="shared" si="63"/>
        <v>25</v>
      </c>
      <c r="AG63" s="49" t="s">
        <v>63</v>
      </c>
      <c r="AH63" s="51">
        <f>IFERROR(VLOOKUP(AG63,'[1]back office'!$A$23:$B$25,2,FALSE),"-")</f>
        <v>0</v>
      </c>
      <c r="AI63" s="49">
        <v>30</v>
      </c>
      <c r="AJ63" s="49">
        <v>15</v>
      </c>
      <c r="AK63" s="49">
        <f t="shared" si="64"/>
        <v>30</v>
      </c>
      <c r="AL63" s="49">
        <v>15</v>
      </c>
      <c r="AM63" s="51">
        <f t="shared" si="65"/>
        <v>45</v>
      </c>
      <c r="AN63" s="49" t="s">
        <v>64</v>
      </c>
      <c r="AO63" s="51">
        <f>IFERROR(VLOOKUP(AN63,'[1]back office'!$A$36:$B$38,2,FALSE),"-")</f>
        <v>0</v>
      </c>
    </row>
    <row r="64" spans="1:41">
      <c r="A64" s="47" t="s">
        <v>128</v>
      </c>
      <c r="B64" s="50" t="str">
        <f>IF(C64="","",IF(C64&gt;=PQCDSM!$G$4,"AA",IF(AND(C64&gt;=PQCDSM!$G$3,C64&lt;PQCDSM!$G$4),"A",IF(AND(C64&gt;=PQCDSM!$G$2,C64&lt;PQCDSM!$G$3),"B","C"))))</f>
        <v>A</v>
      </c>
      <c r="C64" s="50">
        <f t="shared" si="60"/>
        <v>165</v>
      </c>
      <c r="D64" s="49" t="s">
        <v>50</v>
      </c>
      <c r="E64" s="49" t="s">
        <v>73</v>
      </c>
      <c r="F64" s="49" t="s">
        <v>74</v>
      </c>
      <c r="G64" s="49" t="s">
        <v>53</v>
      </c>
      <c r="H64" s="49" t="s">
        <v>54</v>
      </c>
      <c r="I64" s="49" t="s">
        <v>78</v>
      </c>
      <c r="J64" s="50">
        <f>IFERROR(VLOOKUP(D64,'[1]back office'!$A$4:$B$6,2,FALSE),"-")</f>
        <v>25</v>
      </c>
      <c r="K64" s="50">
        <f>IFERROR(VLOOKUP(E64,'[1]back office'!$C$4:$D$6,2,FALSE),"-")</f>
        <v>0</v>
      </c>
      <c r="L64" s="50">
        <f>IFERROR(VLOOKUP(F64,'[1]back office'!$E$4:$F$6,2,FALSE),"-")</f>
        <v>15</v>
      </c>
      <c r="M64" s="50">
        <f>IFERROR(VLOOKUP(G64,'[1]back office'!$G$4:$H$6,2,FALSE),"-")</f>
        <v>15</v>
      </c>
      <c r="N64" s="50">
        <f>IFERROR(VLOOKUP(H64,'[1]back office'!$I$4:$J$6,2,FALSE),"-")</f>
        <v>0</v>
      </c>
      <c r="O64" s="50" t="str">
        <f>IFERROR(VLOOKUP(I64,'[1]back office'!$K$4:$L$6,2,FALSE),"-")</f>
        <v>-</v>
      </c>
      <c r="P64" s="51">
        <f t="shared" si="61"/>
        <v>55</v>
      </c>
      <c r="Q64" s="49" t="s">
        <v>56</v>
      </c>
      <c r="R64" s="49" t="s">
        <v>57</v>
      </c>
      <c r="S64" s="49" t="s">
        <v>58</v>
      </c>
      <c r="T64" s="50">
        <f>IFERROR(VLOOKUP(Q64,'[1]back office'!$A$11:$B$13,2,FALSE),"-")</f>
        <v>35</v>
      </c>
      <c r="U64" s="50">
        <f>IFERROR(VLOOKUP(R64,'[1]back office'!$C$11:$D$13,2,FALSE),"-")</f>
        <v>0</v>
      </c>
      <c r="V64" s="50" t="str">
        <f>IFERROR(VLOOKUP(S64,'[1]back office'!$E$11:$F$13,2,FALSE),"-")</f>
        <v>-</v>
      </c>
      <c r="W64" s="51">
        <f t="shared" si="62"/>
        <v>35</v>
      </c>
      <c r="X64" s="49" t="s">
        <v>70</v>
      </c>
      <c r="Y64" s="49" t="s">
        <v>84</v>
      </c>
      <c r="Z64" s="49" t="s">
        <v>75</v>
      </c>
      <c r="AA64" s="49" t="s">
        <v>62</v>
      </c>
      <c r="AB64" s="50" t="str">
        <f>IFERROR(VLOOKUP(X64,'[1]back office'!$A$17:$B$19,2,FALSE),"-")</f>
        <v>-</v>
      </c>
      <c r="AC64" s="50">
        <f>IFERROR(VLOOKUP(Y64,'[1]back office'!$C$17:$D$19,2,FALSE),"-")</f>
        <v>5</v>
      </c>
      <c r="AD64" s="50">
        <f>IFERROR(VLOOKUP(Z64,'[1]back office'!$E$17:$F$19,2,FALSE),"-")</f>
        <v>20</v>
      </c>
      <c r="AE64" s="50">
        <f>IFERROR(VLOOKUP(AA64,'[1]back office'!$G$17:$H$19,2,FALSE),"-")</f>
        <v>5</v>
      </c>
      <c r="AF64" s="51">
        <f t="shared" si="63"/>
        <v>30</v>
      </c>
      <c r="AG64" s="49" t="s">
        <v>63</v>
      </c>
      <c r="AH64" s="51">
        <f>IFERROR(VLOOKUP(AG64,'[1]back office'!$A$23:$B$25,2,FALSE),"-")</f>
        <v>0</v>
      </c>
      <c r="AI64" s="49">
        <v>30</v>
      </c>
      <c r="AJ64" s="49">
        <v>15</v>
      </c>
      <c r="AK64" s="49">
        <f t="shared" si="64"/>
        <v>30</v>
      </c>
      <c r="AL64" s="49">
        <v>15</v>
      </c>
      <c r="AM64" s="51">
        <f t="shared" si="65"/>
        <v>45</v>
      </c>
      <c r="AN64" s="49" t="s">
        <v>64</v>
      </c>
      <c r="AO64" s="51">
        <f>IFERROR(VLOOKUP(AN64,'[1]back office'!$A$36:$B$38,2,FALSE),"-")</f>
        <v>0</v>
      </c>
    </row>
    <row r="65" spans="1:41">
      <c r="A65" s="47" t="s">
        <v>129</v>
      </c>
      <c r="B65" s="50" t="str">
        <f>IF(C65="","",IF(C65&gt;=PQCDSM!$G$4,"AA",IF(AND(C65&gt;=PQCDSM!$G$3,C65&lt;PQCDSM!$G$4),"A",IF(AND(C65&gt;=PQCDSM!$G$2,C65&lt;PQCDSM!$G$3),"B","C"))))</f>
        <v>A</v>
      </c>
      <c r="C65" s="50">
        <f t="shared" si="60"/>
        <v>180</v>
      </c>
      <c r="D65" s="49" t="s">
        <v>50</v>
      </c>
      <c r="E65" s="49" t="s">
        <v>73</v>
      </c>
      <c r="F65" s="49" t="s">
        <v>74</v>
      </c>
      <c r="G65" s="49" t="s">
        <v>53</v>
      </c>
      <c r="H65" s="49" t="s">
        <v>54</v>
      </c>
      <c r="I65" s="49" t="s">
        <v>55</v>
      </c>
      <c r="J65" s="50">
        <f>IFERROR(VLOOKUP(D65,'[1]back office'!$A$4:$B$6,2,FALSE),"-")</f>
        <v>25</v>
      </c>
      <c r="K65" s="50">
        <f>IFERROR(VLOOKUP(E65,'[1]back office'!$C$4:$D$6,2,FALSE),"-")</f>
        <v>0</v>
      </c>
      <c r="L65" s="50">
        <f>IFERROR(VLOOKUP(F65,'[1]back office'!$E$4:$F$6,2,FALSE),"-")</f>
        <v>15</v>
      </c>
      <c r="M65" s="50">
        <f>IFERROR(VLOOKUP(G65,'[1]back office'!$G$4:$H$6,2,FALSE),"-")</f>
        <v>15</v>
      </c>
      <c r="N65" s="50">
        <f>IFERROR(VLOOKUP(H65,'[1]back office'!$I$4:$J$6,2,FALSE),"-")</f>
        <v>0</v>
      </c>
      <c r="O65" s="50">
        <f>IFERROR(VLOOKUP(I65,'[1]back office'!$K$4:$L$6,2,FALSE),"-")</f>
        <v>35</v>
      </c>
      <c r="P65" s="51">
        <f t="shared" si="61"/>
        <v>90</v>
      </c>
      <c r="Q65" s="49" t="s">
        <v>54</v>
      </c>
      <c r="R65" s="49" t="s">
        <v>57</v>
      </c>
      <c r="S65" s="49" t="s">
        <v>58</v>
      </c>
      <c r="T65" s="50">
        <f>IFERROR(VLOOKUP(Q65,'[1]back office'!$A$11:$B$13,2,FALSE),"-")</f>
        <v>0</v>
      </c>
      <c r="U65" s="50">
        <f>IFERROR(VLOOKUP(R65,'[1]back office'!$C$11:$D$13,2,FALSE),"-")</f>
        <v>0</v>
      </c>
      <c r="V65" s="50" t="str">
        <f>IFERROR(VLOOKUP(S65,'[1]back office'!$E$11:$F$13,2,FALSE),"-")</f>
        <v>-</v>
      </c>
      <c r="W65" s="51">
        <f t="shared" si="62"/>
        <v>0</v>
      </c>
      <c r="X65" s="49" t="s">
        <v>70</v>
      </c>
      <c r="Y65" s="49" t="s">
        <v>84</v>
      </c>
      <c r="Z65" s="49" t="s">
        <v>75</v>
      </c>
      <c r="AA65" s="49" t="s">
        <v>62</v>
      </c>
      <c r="AB65" s="50" t="str">
        <f>IFERROR(VLOOKUP(X65,'[1]back office'!$A$17:$B$19,2,FALSE),"-")</f>
        <v>-</v>
      </c>
      <c r="AC65" s="50">
        <f>IFERROR(VLOOKUP(Y65,'[1]back office'!$C$17:$D$19,2,FALSE),"-")</f>
        <v>5</v>
      </c>
      <c r="AD65" s="50">
        <f>IFERROR(VLOOKUP(Z65,'[1]back office'!$E$17:$F$19,2,FALSE),"-")</f>
        <v>20</v>
      </c>
      <c r="AE65" s="50">
        <f>IFERROR(VLOOKUP(AA65,'[1]back office'!$G$17:$H$19,2,FALSE),"-")</f>
        <v>5</v>
      </c>
      <c r="AF65" s="51">
        <f t="shared" si="63"/>
        <v>30</v>
      </c>
      <c r="AG65" s="49" t="s">
        <v>63</v>
      </c>
      <c r="AH65" s="51">
        <f>IFERROR(VLOOKUP(AG65,'[1]back office'!$A$23:$B$25,2,FALSE),"-")</f>
        <v>0</v>
      </c>
      <c r="AI65" s="49">
        <v>30</v>
      </c>
      <c r="AJ65" s="49">
        <v>30</v>
      </c>
      <c r="AK65" s="49">
        <f t="shared" si="64"/>
        <v>30</v>
      </c>
      <c r="AL65" s="49">
        <v>30</v>
      </c>
      <c r="AM65" s="51">
        <f t="shared" si="65"/>
        <v>60</v>
      </c>
      <c r="AN65" s="49" t="s">
        <v>64</v>
      </c>
      <c r="AO65" s="51">
        <f>IFERROR(VLOOKUP(AN65,'[1]back office'!$A$36:$B$38,2,FALSE),"-")</f>
        <v>0</v>
      </c>
    </row>
    <row r="66" spans="1:41">
      <c r="A66" s="47" t="s">
        <v>130</v>
      </c>
      <c r="B66" s="50" t="str">
        <f>IF(C66="","",IF(C66&gt;=PQCDSM!$G$4,"AA",IF(AND(C66&gt;=PQCDSM!$G$3,C66&lt;PQCDSM!$G$4),"A",IF(AND(C66&gt;=PQCDSM!$G$2,C66&lt;PQCDSM!$G$3),"B","C"))))</f>
        <v>A</v>
      </c>
      <c r="C66" s="50">
        <f t="shared" si="60"/>
        <v>180</v>
      </c>
      <c r="D66" s="49" t="s">
        <v>50</v>
      </c>
      <c r="E66" s="49" t="s">
        <v>73</v>
      </c>
      <c r="F66" s="49" t="s">
        <v>74</v>
      </c>
      <c r="G66" s="49" t="s">
        <v>53</v>
      </c>
      <c r="H66" s="49" t="s">
        <v>54</v>
      </c>
      <c r="I66" s="49" t="s">
        <v>55</v>
      </c>
      <c r="J66" s="50">
        <f>IFERROR(VLOOKUP(D66,'[1]back office'!$A$4:$B$6,2,FALSE),"-")</f>
        <v>25</v>
      </c>
      <c r="K66" s="50">
        <f>IFERROR(VLOOKUP(E66,'[1]back office'!$C$4:$D$6,2,FALSE),"-")</f>
        <v>0</v>
      </c>
      <c r="L66" s="50">
        <f>IFERROR(VLOOKUP(F66,'[1]back office'!$E$4:$F$6,2,FALSE),"-")</f>
        <v>15</v>
      </c>
      <c r="M66" s="50">
        <f>IFERROR(VLOOKUP(G66,'[1]back office'!$G$4:$H$6,2,FALSE),"-")</f>
        <v>15</v>
      </c>
      <c r="N66" s="50">
        <f>IFERROR(VLOOKUP(H66,'[1]back office'!$I$4:$J$6,2,FALSE),"-")</f>
        <v>0</v>
      </c>
      <c r="O66" s="50">
        <f>IFERROR(VLOOKUP(I66,'[1]back office'!$K$4:$L$6,2,FALSE),"-")</f>
        <v>35</v>
      </c>
      <c r="P66" s="51">
        <f t="shared" si="61"/>
        <v>90</v>
      </c>
      <c r="Q66" s="49" t="s">
        <v>54</v>
      </c>
      <c r="R66" s="49" t="s">
        <v>57</v>
      </c>
      <c r="S66" s="49" t="s">
        <v>58</v>
      </c>
      <c r="T66" s="50">
        <f>IFERROR(VLOOKUP(Q66,'[1]back office'!$A$11:$B$13,2,FALSE),"-")</f>
        <v>0</v>
      </c>
      <c r="U66" s="50">
        <f>IFERROR(VLOOKUP(R66,'[1]back office'!$C$11:$D$13,2,FALSE),"-")</f>
        <v>0</v>
      </c>
      <c r="V66" s="50" t="str">
        <f>IFERROR(VLOOKUP(S66,'[1]back office'!$E$11:$F$13,2,FALSE),"-")</f>
        <v>-</v>
      </c>
      <c r="W66" s="51">
        <f t="shared" si="62"/>
        <v>0</v>
      </c>
      <c r="X66" s="49" t="s">
        <v>70</v>
      </c>
      <c r="Y66" s="49" t="s">
        <v>84</v>
      </c>
      <c r="Z66" s="49" t="s">
        <v>75</v>
      </c>
      <c r="AA66" s="49" t="s">
        <v>76</v>
      </c>
      <c r="AB66" s="50" t="str">
        <f>IFERROR(VLOOKUP(X66,'[1]back office'!$A$17:$B$19,2,FALSE),"-")</f>
        <v>-</v>
      </c>
      <c r="AC66" s="50">
        <f>IFERROR(VLOOKUP(Y66,'[1]back office'!$C$17:$D$19,2,FALSE),"-")</f>
        <v>5</v>
      </c>
      <c r="AD66" s="50">
        <f>IFERROR(VLOOKUP(Z66,'[1]back office'!$E$17:$F$19,2,FALSE),"-")</f>
        <v>20</v>
      </c>
      <c r="AE66" s="50">
        <f>IFERROR(VLOOKUP(AA66,'[1]back office'!$G$17:$H$19,2,FALSE),"-")</f>
        <v>0</v>
      </c>
      <c r="AF66" s="51">
        <f t="shared" si="63"/>
        <v>25</v>
      </c>
      <c r="AG66" s="49" t="s">
        <v>63</v>
      </c>
      <c r="AH66" s="51">
        <f>IFERROR(VLOOKUP(AG66,'[1]back office'!$A$23:$B$25,2,FALSE),"-")</f>
        <v>0</v>
      </c>
      <c r="AI66" s="49">
        <v>50</v>
      </c>
      <c r="AJ66" s="49">
        <v>15</v>
      </c>
      <c r="AK66" s="49">
        <f t="shared" si="64"/>
        <v>50</v>
      </c>
      <c r="AL66" s="49">
        <v>15</v>
      </c>
      <c r="AM66" s="51">
        <f t="shared" si="65"/>
        <v>65</v>
      </c>
      <c r="AN66" s="49" t="s">
        <v>64</v>
      </c>
      <c r="AO66" s="51">
        <f>IFERROR(VLOOKUP(AN66,'[1]back office'!$A$36:$B$38,2,FALSE),"-")</f>
        <v>0</v>
      </c>
    </row>
    <row r="67" spans="1:41">
      <c r="A67" s="47" t="s">
        <v>131</v>
      </c>
      <c r="B67" s="50" t="str">
        <f>IF(C67="","",IF(C67&gt;=PQCDSM!$G$4,"AA",IF(AND(C67&gt;=PQCDSM!$G$3,C67&lt;PQCDSM!$G$4),"A",IF(AND(C67&gt;=PQCDSM!$G$2,C67&lt;PQCDSM!$G$3),"B","C"))))</f>
        <v>A</v>
      </c>
      <c r="C67" s="50">
        <f t="shared" ref="C67:C128" si="66">IF(SUM(P67,W67,AF67,AH67,AM67,AO67)=0,"",SUM(P67,W67,AF67,AH67,AM67,AO67))</f>
        <v>181</v>
      </c>
      <c r="D67" s="49" t="s">
        <v>50</v>
      </c>
      <c r="E67" s="49" t="s">
        <v>73</v>
      </c>
      <c r="F67" s="49" t="s">
        <v>74</v>
      </c>
      <c r="G67" s="49" t="s">
        <v>53</v>
      </c>
      <c r="H67" s="49" t="s">
        <v>54</v>
      </c>
      <c r="I67" s="49" t="s">
        <v>55</v>
      </c>
      <c r="J67" s="50">
        <f>IFERROR(VLOOKUP(D67,'[1]back office'!$A$4:$B$6,2,FALSE),"-")</f>
        <v>25</v>
      </c>
      <c r="K67" s="50">
        <f>IFERROR(VLOOKUP(E67,'[1]back office'!$C$4:$D$6,2,FALSE),"-")</f>
        <v>0</v>
      </c>
      <c r="L67" s="50">
        <f>IFERROR(VLOOKUP(F67,'[1]back office'!$E$4:$F$6,2,FALSE),"-")</f>
        <v>15</v>
      </c>
      <c r="M67" s="50">
        <f>IFERROR(VLOOKUP(G67,'[1]back office'!$G$4:$H$6,2,FALSE),"-")</f>
        <v>15</v>
      </c>
      <c r="N67" s="50">
        <f>IFERROR(VLOOKUP(H67,'[1]back office'!$I$4:$J$6,2,FALSE),"-")</f>
        <v>0</v>
      </c>
      <c r="O67" s="50">
        <f>IFERROR(VLOOKUP(I67,'[1]back office'!$K$4:$L$6,2,FALSE),"-")</f>
        <v>35</v>
      </c>
      <c r="P67" s="51">
        <f t="shared" ref="P67:P128" si="67">SUM(J67:O67)</f>
        <v>90</v>
      </c>
      <c r="Q67" s="49" t="s">
        <v>54</v>
      </c>
      <c r="R67" s="49" t="s">
        <v>57</v>
      </c>
      <c r="S67" s="49" t="s">
        <v>58</v>
      </c>
      <c r="T67" s="50">
        <f>IFERROR(VLOOKUP(Q67,'[1]back office'!$A$11:$B$13,2,FALSE),"-")</f>
        <v>0</v>
      </c>
      <c r="U67" s="50">
        <f>IFERROR(VLOOKUP(R67,'[1]back office'!$C$11:$D$13,2,FALSE),"-")</f>
        <v>0</v>
      </c>
      <c r="V67" s="50" t="str">
        <f>IFERROR(VLOOKUP(S67,'[1]back office'!$E$11:$F$13,2,FALSE),"-")</f>
        <v>-</v>
      </c>
      <c r="W67" s="51">
        <f t="shared" ref="W67:W128" si="68">SUM(T67:V67)</f>
        <v>0</v>
      </c>
      <c r="X67" s="49" t="s">
        <v>70</v>
      </c>
      <c r="Y67" s="49" t="s">
        <v>84</v>
      </c>
      <c r="Z67" s="49" t="s">
        <v>75</v>
      </c>
      <c r="AA67" s="49" t="s">
        <v>76</v>
      </c>
      <c r="AB67" s="50" t="str">
        <f>IFERROR(VLOOKUP(X67,'[1]back office'!$A$17:$B$19,2,FALSE),"-")</f>
        <v>-</v>
      </c>
      <c r="AC67" s="50">
        <f>IFERROR(VLOOKUP(Y67,'[1]back office'!$C$17:$D$19,2,FALSE),"-")</f>
        <v>5</v>
      </c>
      <c r="AD67" s="50">
        <f>IFERROR(VLOOKUP(Z67,'[1]back office'!$E$17:$F$19,2,FALSE),"-")</f>
        <v>20</v>
      </c>
      <c r="AE67" s="50">
        <f>IFERROR(VLOOKUP(AA67,'[1]back office'!$G$17:$H$19,2,FALSE),"-")</f>
        <v>0</v>
      </c>
      <c r="AF67" s="51">
        <f t="shared" ref="AF67:AF128" si="69">SUM(AB67:AE67)</f>
        <v>25</v>
      </c>
      <c r="AG67" s="49" t="s">
        <v>63</v>
      </c>
      <c r="AH67" s="51">
        <f>IFERROR(VLOOKUP(AG67,'[1]back office'!$A$23:$B$25,2,FALSE),"-")</f>
        <v>0</v>
      </c>
      <c r="AI67" s="49">
        <v>50</v>
      </c>
      <c r="AJ67" s="49">
        <v>15</v>
      </c>
      <c r="AK67" s="49">
        <f t="shared" ref="AK67:AK128" si="70">AI67</f>
        <v>50</v>
      </c>
      <c r="AL67" s="49">
        <v>16</v>
      </c>
      <c r="AM67" s="51">
        <f t="shared" ref="AM67:AM128" si="71">+SUM(AK67:AL67)</f>
        <v>66</v>
      </c>
      <c r="AN67" s="49" t="s">
        <v>132</v>
      </c>
      <c r="AO67" s="51" t="str">
        <f>IFERROR(VLOOKUP(AN67,'[1]back office'!$A$36:$B$38,2,FALSE),"-")</f>
        <v>-</v>
      </c>
    </row>
    <row r="68" spans="1:41">
      <c r="A68" s="47" t="s">
        <v>133</v>
      </c>
      <c r="B68" s="50" t="str">
        <f>IF(C68="","",IF(C68&gt;=PQCDSM!$G$4,"AA",IF(AND(C68&gt;=PQCDSM!$G$3,C68&lt;PQCDSM!$G$4),"A",IF(AND(C68&gt;=PQCDSM!$G$2,C68&lt;PQCDSM!$G$3),"B","C"))))</f>
        <v>A</v>
      </c>
      <c r="C68" s="50">
        <f t="shared" si="66"/>
        <v>182</v>
      </c>
      <c r="D68" s="49" t="s">
        <v>50</v>
      </c>
      <c r="E68" s="49" t="s">
        <v>73</v>
      </c>
      <c r="F68" s="49" t="s">
        <v>74</v>
      </c>
      <c r="G68" s="49" t="s">
        <v>53</v>
      </c>
      <c r="H68" s="49" t="s">
        <v>54</v>
      </c>
      <c r="I68" s="49" t="s">
        <v>55</v>
      </c>
      <c r="J68" s="50">
        <f>IFERROR(VLOOKUP(D68,'[1]back office'!$A$4:$B$6,2,FALSE),"-")</f>
        <v>25</v>
      </c>
      <c r="K68" s="50">
        <f>IFERROR(VLOOKUP(E68,'[1]back office'!$C$4:$D$6,2,FALSE),"-")</f>
        <v>0</v>
      </c>
      <c r="L68" s="50">
        <f>IFERROR(VLOOKUP(F68,'[1]back office'!$E$4:$F$6,2,FALSE),"-")</f>
        <v>15</v>
      </c>
      <c r="M68" s="50">
        <f>IFERROR(VLOOKUP(G68,'[1]back office'!$G$4:$H$6,2,FALSE),"-")</f>
        <v>15</v>
      </c>
      <c r="N68" s="50">
        <f>IFERROR(VLOOKUP(H68,'[1]back office'!$I$4:$J$6,2,FALSE),"-")</f>
        <v>0</v>
      </c>
      <c r="O68" s="50">
        <f>IFERROR(VLOOKUP(I68,'[1]back office'!$K$4:$L$6,2,FALSE),"-")</f>
        <v>35</v>
      </c>
      <c r="P68" s="51">
        <f t="shared" si="67"/>
        <v>90</v>
      </c>
      <c r="Q68" s="49" t="s">
        <v>54</v>
      </c>
      <c r="R68" s="49" t="s">
        <v>57</v>
      </c>
      <c r="S68" s="49" t="s">
        <v>58</v>
      </c>
      <c r="T68" s="50">
        <f>IFERROR(VLOOKUP(Q68,'[1]back office'!$A$11:$B$13,2,FALSE),"-")</f>
        <v>0</v>
      </c>
      <c r="U68" s="50">
        <f>IFERROR(VLOOKUP(R68,'[1]back office'!$C$11:$D$13,2,FALSE),"-")</f>
        <v>0</v>
      </c>
      <c r="V68" s="50" t="str">
        <f>IFERROR(VLOOKUP(S68,'[1]back office'!$E$11:$F$13,2,FALSE),"-")</f>
        <v>-</v>
      </c>
      <c r="W68" s="51">
        <f t="shared" si="68"/>
        <v>0</v>
      </c>
      <c r="X68" s="49" t="s">
        <v>70</v>
      </c>
      <c r="Y68" s="49" t="s">
        <v>84</v>
      </c>
      <c r="Z68" s="49" t="s">
        <v>75</v>
      </c>
      <c r="AA68" s="49" t="s">
        <v>76</v>
      </c>
      <c r="AB68" s="50" t="str">
        <f>IFERROR(VLOOKUP(X68,'[1]back office'!$A$17:$B$19,2,FALSE),"-")</f>
        <v>-</v>
      </c>
      <c r="AC68" s="50">
        <f>IFERROR(VLOOKUP(Y68,'[1]back office'!$C$17:$D$19,2,FALSE),"-")</f>
        <v>5</v>
      </c>
      <c r="AD68" s="50">
        <f>IFERROR(VLOOKUP(Z68,'[1]back office'!$E$17:$F$19,2,FALSE),"-")</f>
        <v>20</v>
      </c>
      <c r="AE68" s="50">
        <f>IFERROR(VLOOKUP(AA68,'[1]back office'!$G$17:$H$19,2,FALSE),"-")</f>
        <v>0</v>
      </c>
      <c r="AF68" s="51">
        <f t="shared" si="69"/>
        <v>25</v>
      </c>
      <c r="AG68" s="49" t="s">
        <v>63</v>
      </c>
      <c r="AH68" s="51">
        <f>IFERROR(VLOOKUP(AG68,'[1]back office'!$A$23:$B$25,2,FALSE),"-")</f>
        <v>0</v>
      </c>
      <c r="AI68" s="49">
        <v>50</v>
      </c>
      <c r="AJ68" s="49">
        <v>15</v>
      </c>
      <c r="AK68" s="49">
        <f t="shared" si="70"/>
        <v>50</v>
      </c>
      <c r="AL68" s="49">
        <v>17</v>
      </c>
      <c r="AM68" s="51">
        <f t="shared" si="71"/>
        <v>67</v>
      </c>
      <c r="AN68" s="49" t="s">
        <v>134</v>
      </c>
      <c r="AO68" s="51" t="str">
        <f>IFERROR(VLOOKUP(AN68,'[1]back office'!$A$36:$B$38,2,FALSE),"-")</f>
        <v>-</v>
      </c>
    </row>
    <row r="69" spans="1:41">
      <c r="A69" s="47" t="s">
        <v>135</v>
      </c>
      <c r="B69" s="50" t="str">
        <f>IF(C69="","",IF(C69&gt;=PQCDSM!$G$4,"AA",IF(AND(C69&gt;=PQCDSM!$G$3,C69&lt;PQCDSM!$G$4),"A",IF(AND(C69&gt;=PQCDSM!$G$2,C69&lt;PQCDSM!$G$3),"B","C"))))</f>
        <v>A</v>
      </c>
      <c r="C69" s="50">
        <f t="shared" si="66"/>
        <v>183</v>
      </c>
      <c r="D69" s="49" t="s">
        <v>50</v>
      </c>
      <c r="E69" s="49" t="s">
        <v>73</v>
      </c>
      <c r="F69" s="49" t="s">
        <v>74</v>
      </c>
      <c r="G69" s="49" t="s">
        <v>53</v>
      </c>
      <c r="H69" s="49" t="s">
        <v>54</v>
      </c>
      <c r="I69" s="49" t="s">
        <v>55</v>
      </c>
      <c r="J69" s="50">
        <f>IFERROR(VLOOKUP(D69,'[1]back office'!$A$4:$B$6,2,FALSE),"-")</f>
        <v>25</v>
      </c>
      <c r="K69" s="50">
        <f>IFERROR(VLOOKUP(E69,'[1]back office'!$C$4:$D$6,2,FALSE),"-")</f>
        <v>0</v>
      </c>
      <c r="L69" s="50">
        <f>IFERROR(VLOOKUP(F69,'[1]back office'!$E$4:$F$6,2,FALSE),"-")</f>
        <v>15</v>
      </c>
      <c r="M69" s="50">
        <f>IFERROR(VLOOKUP(G69,'[1]back office'!$G$4:$H$6,2,FALSE),"-")</f>
        <v>15</v>
      </c>
      <c r="N69" s="50">
        <f>IFERROR(VLOOKUP(H69,'[1]back office'!$I$4:$J$6,2,FALSE),"-")</f>
        <v>0</v>
      </c>
      <c r="O69" s="50">
        <f>IFERROR(VLOOKUP(I69,'[1]back office'!$K$4:$L$6,2,FALSE),"-")</f>
        <v>35</v>
      </c>
      <c r="P69" s="51">
        <f t="shared" si="67"/>
        <v>90</v>
      </c>
      <c r="Q69" s="49" t="s">
        <v>54</v>
      </c>
      <c r="R69" s="49" t="s">
        <v>57</v>
      </c>
      <c r="S69" s="49" t="s">
        <v>58</v>
      </c>
      <c r="T69" s="50">
        <f>IFERROR(VLOOKUP(Q69,'[1]back office'!$A$11:$B$13,2,FALSE),"-")</f>
        <v>0</v>
      </c>
      <c r="U69" s="50">
        <f>IFERROR(VLOOKUP(R69,'[1]back office'!$C$11:$D$13,2,FALSE),"-")</f>
        <v>0</v>
      </c>
      <c r="V69" s="50" t="str">
        <f>IFERROR(VLOOKUP(S69,'[1]back office'!$E$11:$F$13,2,FALSE),"-")</f>
        <v>-</v>
      </c>
      <c r="W69" s="51">
        <f t="shared" si="68"/>
        <v>0</v>
      </c>
      <c r="X69" s="49" t="s">
        <v>70</v>
      </c>
      <c r="Y69" s="49" t="s">
        <v>84</v>
      </c>
      <c r="Z69" s="49" t="s">
        <v>75</v>
      </c>
      <c r="AA69" s="49" t="s">
        <v>76</v>
      </c>
      <c r="AB69" s="50" t="str">
        <f>IFERROR(VLOOKUP(X69,'[1]back office'!$A$17:$B$19,2,FALSE),"-")</f>
        <v>-</v>
      </c>
      <c r="AC69" s="50">
        <f>IFERROR(VLOOKUP(Y69,'[1]back office'!$C$17:$D$19,2,FALSE),"-")</f>
        <v>5</v>
      </c>
      <c r="AD69" s="50">
        <f>IFERROR(VLOOKUP(Z69,'[1]back office'!$E$17:$F$19,2,FALSE),"-")</f>
        <v>20</v>
      </c>
      <c r="AE69" s="50">
        <f>IFERROR(VLOOKUP(AA69,'[1]back office'!$G$17:$H$19,2,FALSE),"-")</f>
        <v>0</v>
      </c>
      <c r="AF69" s="51">
        <f t="shared" si="69"/>
        <v>25</v>
      </c>
      <c r="AG69" s="49" t="s">
        <v>63</v>
      </c>
      <c r="AH69" s="51">
        <f>IFERROR(VLOOKUP(AG69,'[1]back office'!$A$23:$B$25,2,FALSE),"-")</f>
        <v>0</v>
      </c>
      <c r="AI69" s="49">
        <v>50</v>
      </c>
      <c r="AJ69" s="49">
        <v>15</v>
      </c>
      <c r="AK69" s="49">
        <f t="shared" si="70"/>
        <v>50</v>
      </c>
      <c r="AL69" s="49">
        <v>18</v>
      </c>
      <c r="AM69" s="51">
        <f t="shared" si="71"/>
        <v>68</v>
      </c>
      <c r="AN69" s="49" t="s">
        <v>136</v>
      </c>
      <c r="AO69" s="51" t="str">
        <f>IFERROR(VLOOKUP(AN69,'[1]back office'!$A$36:$B$38,2,FALSE),"-")</f>
        <v>-</v>
      </c>
    </row>
    <row r="70" spans="1:41">
      <c r="A70" s="47" t="s">
        <v>137</v>
      </c>
      <c r="B70" s="50" t="str">
        <f>IF(C70="","",IF(C70&gt;=PQCDSM!$G$4,"AA",IF(AND(C70&gt;=PQCDSM!$G$3,C70&lt;PQCDSM!$G$4),"A",IF(AND(C70&gt;=PQCDSM!$G$2,C70&lt;PQCDSM!$G$3),"B","C"))))</f>
        <v>A</v>
      </c>
      <c r="C70" s="50">
        <f t="shared" si="66"/>
        <v>199</v>
      </c>
      <c r="D70" s="49" t="s">
        <v>50</v>
      </c>
      <c r="E70" s="49" t="s">
        <v>92</v>
      </c>
      <c r="F70" s="49" t="s">
        <v>74</v>
      </c>
      <c r="G70" s="49" t="s">
        <v>53</v>
      </c>
      <c r="H70" s="49" t="s">
        <v>54</v>
      </c>
      <c r="I70" s="49" t="s">
        <v>55</v>
      </c>
      <c r="J70" s="50">
        <f>IFERROR(VLOOKUP(D70,'[1]back office'!$A$4:$B$6,2,FALSE),"-")</f>
        <v>25</v>
      </c>
      <c r="K70" s="50">
        <f>IFERROR(VLOOKUP(E70,'[1]back office'!$C$4:$D$6,2,FALSE),"-")</f>
        <v>15</v>
      </c>
      <c r="L70" s="50">
        <f>IFERROR(VLOOKUP(F70,'[1]back office'!$E$4:$F$6,2,FALSE),"-")</f>
        <v>15</v>
      </c>
      <c r="M70" s="50">
        <f>IFERROR(VLOOKUP(G70,'[1]back office'!$G$4:$H$6,2,FALSE),"-")</f>
        <v>15</v>
      </c>
      <c r="N70" s="50">
        <f>IFERROR(VLOOKUP(H70,'[1]back office'!$I$4:$J$6,2,FALSE),"-")</f>
        <v>0</v>
      </c>
      <c r="O70" s="50">
        <f>IFERROR(VLOOKUP(I70,'[1]back office'!$K$4:$L$6,2,FALSE),"-")</f>
        <v>35</v>
      </c>
      <c r="P70" s="51">
        <f t="shared" si="67"/>
        <v>105</v>
      </c>
      <c r="Q70" s="49" t="s">
        <v>54</v>
      </c>
      <c r="R70" s="49" t="s">
        <v>57</v>
      </c>
      <c r="S70" s="49" t="s">
        <v>58</v>
      </c>
      <c r="T70" s="50">
        <f>IFERROR(VLOOKUP(Q70,'[1]back office'!$A$11:$B$13,2,FALSE),"-")</f>
        <v>0</v>
      </c>
      <c r="U70" s="50">
        <f>IFERROR(VLOOKUP(R70,'[1]back office'!$C$11:$D$13,2,FALSE),"-")</f>
        <v>0</v>
      </c>
      <c r="V70" s="50" t="str">
        <f>IFERROR(VLOOKUP(S70,'[1]back office'!$E$11:$F$13,2,FALSE),"-")</f>
        <v>-</v>
      </c>
      <c r="W70" s="51">
        <f t="shared" si="68"/>
        <v>0</v>
      </c>
      <c r="X70" s="49" t="s">
        <v>70</v>
      </c>
      <c r="Y70" s="49" t="s">
        <v>84</v>
      </c>
      <c r="Z70" s="49" t="s">
        <v>75</v>
      </c>
      <c r="AA70" s="49" t="s">
        <v>76</v>
      </c>
      <c r="AB70" s="50" t="str">
        <f>IFERROR(VLOOKUP(X70,'[1]back office'!$A$17:$B$19,2,FALSE),"-")</f>
        <v>-</v>
      </c>
      <c r="AC70" s="50">
        <f>IFERROR(VLOOKUP(Y70,'[1]back office'!$C$17:$D$19,2,FALSE),"-")</f>
        <v>5</v>
      </c>
      <c r="AD70" s="50">
        <f>IFERROR(VLOOKUP(Z70,'[1]back office'!$E$17:$F$19,2,FALSE),"-")</f>
        <v>20</v>
      </c>
      <c r="AE70" s="50">
        <f>IFERROR(VLOOKUP(AA70,'[1]back office'!$G$17:$H$19,2,FALSE),"-")</f>
        <v>0</v>
      </c>
      <c r="AF70" s="51">
        <f t="shared" si="69"/>
        <v>25</v>
      </c>
      <c r="AG70" s="49" t="s">
        <v>63</v>
      </c>
      <c r="AH70" s="51">
        <f>IFERROR(VLOOKUP(AG70,'[1]back office'!$A$23:$B$25,2,FALSE),"-")</f>
        <v>0</v>
      </c>
      <c r="AI70" s="49">
        <v>50</v>
      </c>
      <c r="AJ70" s="49">
        <v>15</v>
      </c>
      <c r="AK70" s="49">
        <f t="shared" si="70"/>
        <v>50</v>
      </c>
      <c r="AL70" s="49">
        <v>19</v>
      </c>
      <c r="AM70" s="51">
        <f t="shared" si="71"/>
        <v>69</v>
      </c>
      <c r="AN70" s="49" t="s">
        <v>138</v>
      </c>
      <c r="AO70" s="51" t="str">
        <f>IFERROR(VLOOKUP(AN70,'[1]back office'!$A$36:$B$38,2,FALSE),"-")</f>
        <v>-</v>
      </c>
    </row>
    <row r="71" spans="1:41">
      <c r="A71" s="47" t="s">
        <v>139</v>
      </c>
      <c r="B71" s="50" t="str">
        <f>IF(C71="","",IF(C71&gt;=PQCDSM!$G$4,"AA",IF(AND(C71&gt;=PQCDSM!$G$3,C71&lt;PQCDSM!$G$4),"A",IF(AND(C71&gt;=PQCDSM!$G$2,C71&lt;PQCDSM!$G$3),"B","C"))))</f>
        <v>A</v>
      </c>
      <c r="C71" s="50">
        <f t="shared" si="66"/>
        <v>185</v>
      </c>
      <c r="D71" s="49" t="s">
        <v>50</v>
      </c>
      <c r="E71" s="49" t="s">
        <v>73</v>
      </c>
      <c r="F71" s="49" t="s">
        <v>74</v>
      </c>
      <c r="G71" s="49" t="s">
        <v>53</v>
      </c>
      <c r="H71" s="49" t="s">
        <v>54</v>
      </c>
      <c r="I71" s="49" t="s">
        <v>55</v>
      </c>
      <c r="J71" s="50">
        <f>IFERROR(VLOOKUP(D71,'[1]back office'!$A$4:$B$6,2,FALSE),"-")</f>
        <v>25</v>
      </c>
      <c r="K71" s="50">
        <f>IFERROR(VLOOKUP(E71,'[1]back office'!$C$4:$D$6,2,FALSE),"-")</f>
        <v>0</v>
      </c>
      <c r="L71" s="50">
        <f>IFERROR(VLOOKUP(F71,'[1]back office'!$E$4:$F$6,2,FALSE),"-")</f>
        <v>15</v>
      </c>
      <c r="M71" s="50">
        <f>IFERROR(VLOOKUP(G71,'[1]back office'!$G$4:$H$6,2,FALSE),"-")</f>
        <v>15</v>
      </c>
      <c r="N71" s="50">
        <f>IFERROR(VLOOKUP(H71,'[1]back office'!$I$4:$J$6,2,FALSE),"-")</f>
        <v>0</v>
      </c>
      <c r="O71" s="50">
        <f>IFERROR(VLOOKUP(I71,'[1]back office'!$K$4:$L$6,2,FALSE),"-")</f>
        <v>35</v>
      </c>
      <c r="P71" s="51">
        <f t="shared" si="67"/>
        <v>90</v>
      </c>
      <c r="Q71" s="49" t="s">
        <v>54</v>
      </c>
      <c r="R71" s="49" t="s">
        <v>57</v>
      </c>
      <c r="S71" s="49" t="s">
        <v>58</v>
      </c>
      <c r="T71" s="50">
        <f>IFERROR(VLOOKUP(Q71,'[1]back office'!$A$11:$B$13,2,FALSE),"-")</f>
        <v>0</v>
      </c>
      <c r="U71" s="50">
        <f>IFERROR(VLOOKUP(R71,'[1]back office'!$C$11:$D$13,2,FALSE),"-")</f>
        <v>0</v>
      </c>
      <c r="V71" s="50" t="str">
        <f>IFERROR(VLOOKUP(S71,'[1]back office'!$E$11:$F$13,2,FALSE),"-")</f>
        <v>-</v>
      </c>
      <c r="W71" s="51">
        <f t="shared" si="68"/>
        <v>0</v>
      </c>
      <c r="X71" s="49" t="s">
        <v>70</v>
      </c>
      <c r="Y71" s="49" t="s">
        <v>84</v>
      </c>
      <c r="Z71" s="49" t="s">
        <v>75</v>
      </c>
      <c r="AA71" s="49" t="s">
        <v>76</v>
      </c>
      <c r="AB71" s="50" t="str">
        <f>IFERROR(VLOOKUP(X71,'[1]back office'!$A$17:$B$19,2,FALSE),"-")</f>
        <v>-</v>
      </c>
      <c r="AC71" s="50">
        <f>IFERROR(VLOOKUP(Y71,'[1]back office'!$C$17:$D$19,2,FALSE),"-")</f>
        <v>5</v>
      </c>
      <c r="AD71" s="50">
        <f>IFERROR(VLOOKUP(Z71,'[1]back office'!$E$17:$F$19,2,FALSE),"-")</f>
        <v>20</v>
      </c>
      <c r="AE71" s="50">
        <f>IFERROR(VLOOKUP(AA71,'[1]back office'!$G$17:$H$19,2,FALSE),"-")</f>
        <v>0</v>
      </c>
      <c r="AF71" s="51">
        <f t="shared" si="69"/>
        <v>25</v>
      </c>
      <c r="AG71" s="49" t="s">
        <v>63</v>
      </c>
      <c r="AH71" s="51">
        <f>IFERROR(VLOOKUP(AG71,'[1]back office'!$A$23:$B$25,2,FALSE),"-")</f>
        <v>0</v>
      </c>
      <c r="AI71" s="49">
        <v>50</v>
      </c>
      <c r="AJ71" s="49">
        <v>15</v>
      </c>
      <c r="AK71" s="49">
        <f t="shared" si="70"/>
        <v>50</v>
      </c>
      <c r="AL71" s="49">
        <v>20</v>
      </c>
      <c r="AM71" s="51">
        <f t="shared" si="71"/>
        <v>70</v>
      </c>
      <c r="AN71" s="49" t="s">
        <v>140</v>
      </c>
      <c r="AO71" s="51" t="str">
        <f>IFERROR(VLOOKUP(AN71,'[1]back office'!$A$36:$B$38,2,FALSE),"-")</f>
        <v>-</v>
      </c>
    </row>
    <row r="72" spans="1:41">
      <c r="A72" s="47" t="s">
        <v>141</v>
      </c>
      <c r="B72" s="50" t="str">
        <f>IF(C72="","",IF(C72&gt;=PQCDSM!$G$4,"AA",IF(AND(C72&gt;=PQCDSM!$G$3,C72&lt;PQCDSM!$G$4),"A",IF(AND(C72&gt;=PQCDSM!$G$2,C72&lt;PQCDSM!$G$3),"B","C"))))</f>
        <v>A</v>
      </c>
      <c r="C72" s="50">
        <f t="shared" si="66"/>
        <v>186</v>
      </c>
      <c r="D72" s="49" t="s">
        <v>50</v>
      </c>
      <c r="E72" s="49" t="s">
        <v>73</v>
      </c>
      <c r="F72" s="49" t="s">
        <v>74</v>
      </c>
      <c r="G72" s="49" t="s">
        <v>53</v>
      </c>
      <c r="H72" s="49" t="s">
        <v>54</v>
      </c>
      <c r="I72" s="49" t="s">
        <v>55</v>
      </c>
      <c r="J72" s="50">
        <f>IFERROR(VLOOKUP(D72,'[1]back office'!$A$4:$B$6,2,FALSE),"-")</f>
        <v>25</v>
      </c>
      <c r="K72" s="50">
        <f>IFERROR(VLOOKUP(E72,'[1]back office'!$C$4:$D$6,2,FALSE),"-")</f>
        <v>0</v>
      </c>
      <c r="L72" s="50">
        <f>IFERROR(VLOOKUP(F72,'[1]back office'!$E$4:$F$6,2,FALSE),"-")</f>
        <v>15</v>
      </c>
      <c r="M72" s="50">
        <f>IFERROR(VLOOKUP(G72,'[1]back office'!$G$4:$H$6,2,FALSE),"-")</f>
        <v>15</v>
      </c>
      <c r="N72" s="50">
        <f>IFERROR(VLOOKUP(H72,'[1]back office'!$I$4:$J$6,2,FALSE),"-")</f>
        <v>0</v>
      </c>
      <c r="O72" s="50">
        <f>IFERROR(VLOOKUP(I72,'[1]back office'!$K$4:$L$6,2,FALSE),"-")</f>
        <v>35</v>
      </c>
      <c r="P72" s="51">
        <f t="shared" si="67"/>
        <v>90</v>
      </c>
      <c r="Q72" s="49" t="s">
        <v>54</v>
      </c>
      <c r="R72" s="49" t="s">
        <v>57</v>
      </c>
      <c r="S72" s="49" t="s">
        <v>58</v>
      </c>
      <c r="T72" s="50">
        <f>IFERROR(VLOOKUP(Q72,'[1]back office'!$A$11:$B$13,2,FALSE),"-")</f>
        <v>0</v>
      </c>
      <c r="U72" s="50">
        <f>IFERROR(VLOOKUP(R72,'[1]back office'!$C$11:$D$13,2,FALSE),"-")</f>
        <v>0</v>
      </c>
      <c r="V72" s="50" t="str">
        <f>IFERROR(VLOOKUP(S72,'[1]back office'!$E$11:$F$13,2,FALSE),"-")</f>
        <v>-</v>
      </c>
      <c r="W72" s="51">
        <f t="shared" si="68"/>
        <v>0</v>
      </c>
      <c r="X72" s="49" t="s">
        <v>70</v>
      </c>
      <c r="Y72" s="49" t="s">
        <v>84</v>
      </c>
      <c r="Z72" s="49" t="s">
        <v>75</v>
      </c>
      <c r="AA72" s="49" t="s">
        <v>76</v>
      </c>
      <c r="AB72" s="50" t="str">
        <f>IFERROR(VLOOKUP(X72,'[1]back office'!$A$17:$B$19,2,FALSE),"-")</f>
        <v>-</v>
      </c>
      <c r="AC72" s="50">
        <f>IFERROR(VLOOKUP(Y72,'[1]back office'!$C$17:$D$19,2,FALSE),"-")</f>
        <v>5</v>
      </c>
      <c r="AD72" s="50">
        <f>IFERROR(VLOOKUP(Z72,'[1]back office'!$E$17:$F$19,2,FALSE),"-")</f>
        <v>20</v>
      </c>
      <c r="AE72" s="50">
        <f>IFERROR(VLOOKUP(AA72,'[1]back office'!$G$17:$H$19,2,FALSE),"-")</f>
        <v>0</v>
      </c>
      <c r="AF72" s="51">
        <f t="shared" si="69"/>
        <v>25</v>
      </c>
      <c r="AG72" s="49" t="s">
        <v>63</v>
      </c>
      <c r="AH72" s="51">
        <f>IFERROR(VLOOKUP(AG72,'[1]back office'!$A$23:$B$25,2,FALSE),"-")</f>
        <v>0</v>
      </c>
      <c r="AI72" s="49">
        <v>50</v>
      </c>
      <c r="AJ72" s="49">
        <v>15</v>
      </c>
      <c r="AK72" s="49">
        <f t="shared" si="70"/>
        <v>50</v>
      </c>
      <c r="AL72" s="49">
        <v>21</v>
      </c>
      <c r="AM72" s="51">
        <f t="shared" si="71"/>
        <v>71</v>
      </c>
      <c r="AN72" s="49" t="s">
        <v>142</v>
      </c>
      <c r="AO72" s="51" t="str">
        <f>IFERROR(VLOOKUP(AN72,'[1]back office'!$A$36:$B$38,2,FALSE),"-")</f>
        <v>-</v>
      </c>
    </row>
    <row r="73" spans="1:41">
      <c r="A73" s="47" t="s">
        <v>143</v>
      </c>
      <c r="B73" s="50" t="str">
        <f>IF(C73="","",IF(C73&gt;=PQCDSM!$G$4,"AA",IF(AND(C73&gt;=PQCDSM!$G$3,C73&lt;PQCDSM!$G$4),"A",IF(AND(C73&gt;=PQCDSM!$G$2,C73&lt;PQCDSM!$G$3),"B","C"))))</f>
        <v>A</v>
      </c>
      <c r="C73" s="50">
        <f t="shared" si="66"/>
        <v>202</v>
      </c>
      <c r="D73" s="49" t="s">
        <v>50</v>
      </c>
      <c r="E73" s="49" t="s">
        <v>92</v>
      </c>
      <c r="F73" s="49" t="s">
        <v>74</v>
      </c>
      <c r="G73" s="49" t="s">
        <v>53</v>
      </c>
      <c r="H73" s="49" t="s">
        <v>54</v>
      </c>
      <c r="I73" s="49" t="s">
        <v>55</v>
      </c>
      <c r="J73" s="50">
        <f>IFERROR(VLOOKUP(D73,'[1]back office'!$A$4:$B$6,2,FALSE),"-")</f>
        <v>25</v>
      </c>
      <c r="K73" s="50">
        <f>IFERROR(VLOOKUP(E73,'[1]back office'!$C$4:$D$6,2,FALSE),"-")</f>
        <v>15</v>
      </c>
      <c r="L73" s="50">
        <f>IFERROR(VLOOKUP(F73,'[1]back office'!$E$4:$F$6,2,FALSE),"-")</f>
        <v>15</v>
      </c>
      <c r="M73" s="50">
        <f>IFERROR(VLOOKUP(G73,'[1]back office'!$G$4:$H$6,2,FALSE),"-")</f>
        <v>15</v>
      </c>
      <c r="N73" s="50">
        <f>IFERROR(VLOOKUP(H73,'[1]back office'!$I$4:$J$6,2,FALSE),"-")</f>
        <v>0</v>
      </c>
      <c r="O73" s="50">
        <f>IFERROR(VLOOKUP(I73,'[1]back office'!$K$4:$L$6,2,FALSE),"-")</f>
        <v>35</v>
      </c>
      <c r="P73" s="51">
        <f t="shared" si="67"/>
        <v>105</v>
      </c>
      <c r="Q73" s="49" t="s">
        <v>54</v>
      </c>
      <c r="R73" s="49" t="s">
        <v>57</v>
      </c>
      <c r="S73" s="49" t="s">
        <v>58</v>
      </c>
      <c r="T73" s="50">
        <f>IFERROR(VLOOKUP(Q73,'[1]back office'!$A$11:$B$13,2,FALSE),"-")</f>
        <v>0</v>
      </c>
      <c r="U73" s="50">
        <f>IFERROR(VLOOKUP(R73,'[1]back office'!$C$11:$D$13,2,FALSE),"-")</f>
        <v>0</v>
      </c>
      <c r="V73" s="50" t="str">
        <f>IFERROR(VLOOKUP(S73,'[1]back office'!$E$11:$F$13,2,FALSE),"-")</f>
        <v>-</v>
      </c>
      <c r="W73" s="51">
        <f t="shared" si="68"/>
        <v>0</v>
      </c>
      <c r="X73" s="49" t="s">
        <v>70</v>
      </c>
      <c r="Y73" s="49" t="s">
        <v>84</v>
      </c>
      <c r="Z73" s="49" t="s">
        <v>75</v>
      </c>
      <c r="AA73" s="49" t="s">
        <v>76</v>
      </c>
      <c r="AB73" s="50" t="str">
        <f>IFERROR(VLOOKUP(X73,'[1]back office'!$A$17:$B$19,2,FALSE),"-")</f>
        <v>-</v>
      </c>
      <c r="AC73" s="50">
        <f>IFERROR(VLOOKUP(Y73,'[1]back office'!$C$17:$D$19,2,FALSE),"-")</f>
        <v>5</v>
      </c>
      <c r="AD73" s="50">
        <f>IFERROR(VLOOKUP(Z73,'[1]back office'!$E$17:$F$19,2,FALSE),"-")</f>
        <v>20</v>
      </c>
      <c r="AE73" s="50">
        <f>IFERROR(VLOOKUP(AA73,'[1]back office'!$G$17:$H$19,2,FALSE),"-")</f>
        <v>0</v>
      </c>
      <c r="AF73" s="51">
        <f t="shared" si="69"/>
        <v>25</v>
      </c>
      <c r="AG73" s="49" t="s">
        <v>63</v>
      </c>
      <c r="AH73" s="51">
        <f>IFERROR(VLOOKUP(AG73,'[1]back office'!$A$23:$B$25,2,FALSE),"-")</f>
        <v>0</v>
      </c>
      <c r="AI73" s="49">
        <v>50</v>
      </c>
      <c r="AJ73" s="49">
        <v>15</v>
      </c>
      <c r="AK73" s="49">
        <f t="shared" si="70"/>
        <v>50</v>
      </c>
      <c r="AL73" s="49">
        <v>22</v>
      </c>
      <c r="AM73" s="51">
        <f t="shared" si="71"/>
        <v>72</v>
      </c>
      <c r="AN73" s="49" t="s">
        <v>144</v>
      </c>
      <c r="AO73" s="51" t="str">
        <f>IFERROR(VLOOKUP(AN73,'[1]back office'!$A$36:$B$38,2,FALSE),"-")</f>
        <v>-</v>
      </c>
    </row>
    <row r="74" spans="1:41">
      <c r="A74" s="47" t="s">
        <v>145</v>
      </c>
      <c r="B74" s="50" t="str">
        <f>IF(C74="","",IF(C74&gt;=PQCDSM!$G$4,"AA",IF(AND(C74&gt;=PQCDSM!$G$3,C74&lt;PQCDSM!$G$4),"A",IF(AND(C74&gt;=PQCDSM!$G$2,C74&lt;PQCDSM!$G$3),"B","C"))))</f>
        <v>A</v>
      </c>
      <c r="C74" s="50">
        <f t="shared" si="66"/>
        <v>188</v>
      </c>
      <c r="D74" s="49" t="s">
        <v>50</v>
      </c>
      <c r="E74" s="49" t="s">
        <v>73</v>
      </c>
      <c r="F74" s="49" t="s">
        <v>74</v>
      </c>
      <c r="G74" s="49" t="s">
        <v>53</v>
      </c>
      <c r="H74" s="49" t="s">
        <v>54</v>
      </c>
      <c r="I74" s="49" t="s">
        <v>55</v>
      </c>
      <c r="J74" s="50">
        <f>IFERROR(VLOOKUP(D74,'[1]back office'!$A$4:$B$6,2,FALSE),"-")</f>
        <v>25</v>
      </c>
      <c r="K74" s="50">
        <f>IFERROR(VLOOKUP(E74,'[1]back office'!$C$4:$D$6,2,FALSE),"-")</f>
        <v>0</v>
      </c>
      <c r="L74" s="50">
        <f>IFERROR(VLOOKUP(F74,'[1]back office'!$E$4:$F$6,2,FALSE),"-")</f>
        <v>15</v>
      </c>
      <c r="M74" s="50">
        <f>IFERROR(VLOOKUP(G74,'[1]back office'!$G$4:$H$6,2,FALSE),"-")</f>
        <v>15</v>
      </c>
      <c r="N74" s="50">
        <f>IFERROR(VLOOKUP(H74,'[1]back office'!$I$4:$J$6,2,FALSE),"-")</f>
        <v>0</v>
      </c>
      <c r="O74" s="50">
        <f>IFERROR(VLOOKUP(I74,'[1]back office'!$K$4:$L$6,2,FALSE),"-")</f>
        <v>35</v>
      </c>
      <c r="P74" s="51">
        <f t="shared" si="67"/>
        <v>90</v>
      </c>
      <c r="Q74" s="49" t="s">
        <v>54</v>
      </c>
      <c r="R74" s="49" t="s">
        <v>57</v>
      </c>
      <c r="S74" s="49" t="s">
        <v>58</v>
      </c>
      <c r="T74" s="50">
        <f>IFERROR(VLOOKUP(Q74,'[1]back office'!$A$11:$B$13,2,FALSE),"-")</f>
        <v>0</v>
      </c>
      <c r="U74" s="50">
        <f>IFERROR(VLOOKUP(R74,'[1]back office'!$C$11:$D$13,2,FALSE),"-")</f>
        <v>0</v>
      </c>
      <c r="V74" s="50" t="str">
        <f>IFERROR(VLOOKUP(S74,'[1]back office'!$E$11:$F$13,2,FALSE),"-")</f>
        <v>-</v>
      </c>
      <c r="W74" s="51">
        <f t="shared" si="68"/>
        <v>0</v>
      </c>
      <c r="X74" s="49" t="s">
        <v>70</v>
      </c>
      <c r="Y74" s="49" t="s">
        <v>84</v>
      </c>
      <c r="Z74" s="49" t="s">
        <v>75</v>
      </c>
      <c r="AA74" s="49" t="s">
        <v>76</v>
      </c>
      <c r="AB74" s="50" t="str">
        <f>IFERROR(VLOOKUP(X74,'[1]back office'!$A$17:$B$19,2,FALSE),"-")</f>
        <v>-</v>
      </c>
      <c r="AC74" s="50">
        <f>IFERROR(VLOOKUP(Y74,'[1]back office'!$C$17:$D$19,2,FALSE),"-")</f>
        <v>5</v>
      </c>
      <c r="AD74" s="50">
        <f>IFERROR(VLOOKUP(Z74,'[1]back office'!$E$17:$F$19,2,FALSE),"-")</f>
        <v>20</v>
      </c>
      <c r="AE74" s="50">
        <f>IFERROR(VLOOKUP(AA74,'[1]back office'!$G$17:$H$19,2,FALSE),"-")</f>
        <v>0</v>
      </c>
      <c r="AF74" s="51">
        <f t="shared" si="69"/>
        <v>25</v>
      </c>
      <c r="AG74" s="49" t="s">
        <v>63</v>
      </c>
      <c r="AH74" s="51">
        <f>IFERROR(VLOOKUP(AG74,'[1]back office'!$A$23:$B$25,2,FALSE),"-")</f>
        <v>0</v>
      </c>
      <c r="AI74" s="49">
        <v>50</v>
      </c>
      <c r="AJ74" s="49">
        <v>15</v>
      </c>
      <c r="AK74" s="49">
        <f t="shared" si="70"/>
        <v>50</v>
      </c>
      <c r="AL74" s="49">
        <v>23</v>
      </c>
      <c r="AM74" s="51">
        <f t="shared" si="71"/>
        <v>73</v>
      </c>
      <c r="AN74" s="49" t="s">
        <v>146</v>
      </c>
      <c r="AO74" s="51" t="str">
        <f>IFERROR(VLOOKUP(AN74,'[1]back office'!$A$36:$B$38,2,FALSE),"-")</f>
        <v>-</v>
      </c>
    </row>
    <row r="75" spans="1:41">
      <c r="A75" s="47" t="s">
        <v>147</v>
      </c>
      <c r="B75" s="50" t="str">
        <f>IF(C75="","",IF(C75&gt;=PQCDSM!$G$4,"AA",IF(AND(C75&gt;=PQCDSM!$G$3,C75&lt;PQCDSM!$G$4),"A",IF(AND(C75&gt;=PQCDSM!$G$2,C75&lt;PQCDSM!$G$3),"B","C"))))</f>
        <v>A</v>
      </c>
      <c r="C75" s="50">
        <f t="shared" si="66"/>
        <v>189</v>
      </c>
      <c r="D75" s="49" t="s">
        <v>50</v>
      </c>
      <c r="E75" s="49" t="s">
        <v>73</v>
      </c>
      <c r="F75" s="49" t="s">
        <v>74</v>
      </c>
      <c r="G75" s="49" t="s">
        <v>53</v>
      </c>
      <c r="H75" s="49" t="s">
        <v>54</v>
      </c>
      <c r="I75" s="49" t="s">
        <v>55</v>
      </c>
      <c r="J75" s="50">
        <f>IFERROR(VLOOKUP(D75,'[1]back office'!$A$4:$B$6,2,FALSE),"-")</f>
        <v>25</v>
      </c>
      <c r="K75" s="50">
        <f>IFERROR(VLOOKUP(E75,'[1]back office'!$C$4:$D$6,2,FALSE),"-")</f>
        <v>0</v>
      </c>
      <c r="L75" s="50">
        <f>IFERROR(VLOOKUP(F75,'[1]back office'!$E$4:$F$6,2,FALSE),"-")</f>
        <v>15</v>
      </c>
      <c r="M75" s="50">
        <f>IFERROR(VLOOKUP(G75,'[1]back office'!$G$4:$H$6,2,FALSE),"-")</f>
        <v>15</v>
      </c>
      <c r="N75" s="50">
        <f>IFERROR(VLOOKUP(H75,'[1]back office'!$I$4:$J$6,2,FALSE),"-")</f>
        <v>0</v>
      </c>
      <c r="O75" s="50">
        <f>IFERROR(VLOOKUP(I75,'[1]back office'!$K$4:$L$6,2,FALSE),"-")</f>
        <v>35</v>
      </c>
      <c r="P75" s="51">
        <f t="shared" si="67"/>
        <v>90</v>
      </c>
      <c r="Q75" s="49" t="s">
        <v>54</v>
      </c>
      <c r="R75" s="49" t="s">
        <v>57</v>
      </c>
      <c r="S75" s="49" t="s">
        <v>58</v>
      </c>
      <c r="T75" s="50">
        <f>IFERROR(VLOOKUP(Q75,'[1]back office'!$A$11:$B$13,2,FALSE),"-")</f>
        <v>0</v>
      </c>
      <c r="U75" s="50">
        <f>IFERROR(VLOOKUP(R75,'[1]back office'!$C$11:$D$13,2,FALSE),"-")</f>
        <v>0</v>
      </c>
      <c r="V75" s="50" t="str">
        <f>IFERROR(VLOOKUP(S75,'[1]back office'!$E$11:$F$13,2,FALSE),"-")</f>
        <v>-</v>
      </c>
      <c r="W75" s="51">
        <f t="shared" si="68"/>
        <v>0</v>
      </c>
      <c r="X75" s="49" t="s">
        <v>70</v>
      </c>
      <c r="Y75" s="49" t="s">
        <v>84</v>
      </c>
      <c r="Z75" s="49" t="s">
        <v>75</v>
      </c>
      <c r="AA75" s="49" t="s">
        <v>76</v>
      </c>
      <c r="AB75" s="50" t="str">
        <f>IFERROR(VLOOKUP(X75,'[1]back office'!$A$17:$B$19,2,FALSE),"-")</f>
        <v>-</v>
      </c>
      <c r="AC75" s="50">
        <f>IFERROR(VLOOKUP(Y75,'[1]back office'!$C$17:$D$19,2,FALSE),"-")</f>
        <v>5</v>
      </c>
      <c r="AD75" s="50">
        <f>IFERROR(VLOOKUP(Z75,'[1]back office'!$E$17:$F$19,2,FALSE),"-")</f>
        <v>20</v>
      </c>
      <c r="AE75" s="50">
        <f>IFERROR(VLOOKUP(AA75,'[1]back office'!$G$17:$H$19,2,FALSE),"-")</f>
        <v>0</v>
      </c>
      <c r="AF75" s="51">
        <f t="shared" si="69"/>
        <v>25</v>
      </c>
      <c r="AG75" s="49" t="s">
        <v>63</v>
      </c>
      <c r="AH75" s="51">
        <f>IFERROR(VLOOKUP(AG75,'[1]back office'!$A$23:$B$25,2,FALSE),"-")</f>
        <v>0</v>
      </c>
      <c r="AI75" s="49">
        <v>50</v>
      </c>
      <c r="AJ75" s="49">
        <v>15</v>
      </c>
      <c r="AK75" s="49">
        <f t="shared" si="70"/>
        <v>50</v>
      </c>
      <c r="AL75" s="49">
        <v>24</v>
      </c>
      <c r="AM75" s="51">
        <f t="shared" si="71"/>
        <v>74</v>
      </c>
      <c r="AN75" s="49" t="s">
        <v>148</v>
      </c>
      <c r="AO75" s="51" t="str">
        <f>IFERROR(VLOOKUP(AN75,'[1]back office'!$A$36:$B$38,2,FALSE),"-")</f>
        <v>-</v>
      </c>
    </row>
    <row r="76" spans="1:41">
      <c r="A76" s="47" t="s">
        <v>149</v>
      </c>
      <c r="B76" s="50" t="str">
        <f>IF(C76="","",IF(C76&gt;=PQCDSM!$G$4,"AA",IF(AND(C76&gt;=PQCDSM!$G$3,C76&lt;PQCDSM!$G$4),"A",IF(AND(C76&gt;=PQCDSM!$G$2,C76&lt;PQCDSM!$G$3),"B","C"))))</f>
        <v>A</v>
      </c>
      <c r="C76" s="50">
        <f t="shared" si="66"/>
        <v>190</v>
      </c>
      <c r="D76" s="49" t="s">
        <v>50</v>
      </c>
      <c r="E76" s="49" t="s">
        <v>73</v>
      </c>
      <c r="F76" s="49" t="s">
        <v>74</v>
      </c>
      <c r="G76" s="49" t="s">
        <v>53</v>
      </c>
      <c r="H76" s="49" t="s">
        <v>54</v>
      </c>
      <c r="I76" s="49" t="s">
        <v>55</v>
      </c>
      <c r="J76" s="50">
        <f>IFERROR(VLOOKUP(D76,'[1]back office'!$A$4:$B$6,2,FALSE),"-")</f>
        <v>25</v>
      </c>
      <c r="K76" s="50">
        <f>IFERROR(VLOOKUP(E76,'[1]back office'!$C$4:$D$6,2,FALSE),"-")</f>
        <v>0</v>
      </c>
      <c r="L76" s="50">
        <f>IFERROR(VLOOKUP(F76,'[1]back office'!$E$4:$F$6,2,FALSE),"-")</f>
        <v>15</v>
      </c>
      <c r="M76" s="50">
        <f>IFERROR(VLOOKUP(G76,'[1]back office'!$G$4:$H$6,2,FALSE),"-")</f>
        <v>15</v>
      </c>
      <c r="N76" s="50">
        <f>IFERROR(VLOOKUP(H76,'[1]back office'!$I$4:$J$6,2,FALSE),"-")</f>
        <v>0</v>
      </c>
      <c r="O76" s="50">
        <f>IFERROR(VLOOKUP(I76,'[1]back office'!$K$4:$L$6,2,FALSE),"-")</f>
        <v>35</v>
      </c>
      <c r="P76" s="51">
        <f t="shared" si="67"/>
        <v>90</v>
      </c>
      <c r="Q76" s="49" t="s">
        <v>54</v>
      </c>
      <c r="R76" s="49" t="s">
        <v>57</v>
      </c>
      <c r="S76" s="49" t="s">
        <v>58</v>
      </c>
      <c r="T76" s="50">
        <f>IFERROR(VLOOKUP(Q76,'[1]back office'!$A$11:$B$13,2,FALSE),"-")</f>
        <v>0</v>
      </c>
      <c r="U76" s="50">
        <f>IFERROR(VLOOKUP(R76,'[1]back office'!$C$11:$D$13,2,FALSE),"-")</f>
        <v>0</v>
      </c>
      <c r="V76" s="50" t="str">
        <f>IFERROR(VLOOKUP(S76,'[1]back office'!$E$11:$F$13,2,FALSE),"-")</f>
        <v>-</v>
      </c>
      <c r="W76" s="51">
        <f t="shared" si="68"/>
        <v>0</v>
      </c>
      <c r="X76" s="49" t="s">
        <v>70</v>
      </c>
      <c r="Y76" s="49" t="s">
        <v>84</v>
      </c>
      <c r="Z76" s="49" t="s">
        <v>75</v>
      </c>
      <c r="AA76" s="49" t="s">
        <v>76</v>
      </c>
      <c r="AB76" s="50" t="str">
        <f>IFERROR(VLOOKUP(X76,'[1]back office'!$A$17:$B$19,2,FALSE),"-")</f>
        <v>-</v>
      </c>
      <c r="AC76" s="50">
        <f>IFERROR(VLOOKUP(Y76,'[1]back office'!$C$17:$D$19,2,FALSE),"-")</f>
        <v>5</v>
      </c>
      <c r="AD76" s="50">
        <f>IFERROR(VLOOKUP(Z76,'[1]back office'!$E$17:$F$19,2,FALSE),"-")</f>
        <v>20</v>
      </c>
      <c r="AE76" s="50">
        <f>IFERROR(VLOOKUP(AA76,'[1]back office'!$G$17:$H$19,2,FALSE),"-")</f>
        <v>0</v>
      </c>
      <c r="AF76" s="51">
        <f t="shared" si="69"/>
        <v>25</v>
      </c>
      <c r="AG76" s="49" t="s">
        <v>63</v>
      </c>
      <c r="AH76" s="51">
        <f>IFERROR(VLOOKUP(AG76,'[1]back office'!$A$23:$B$25,2,FALSE),"-")</f>
        <v>0</v>
      </c>
      <c r="AI76" s="49">
        <v>50</v>
      </c>
      <c r="AJ76" s="49">
        <v>15</v>
      </c>
      <c r="AK76" s="49">
        <f t="shared" si="70"/>
        <v>50</v>
      </c>
      <c r="AL76" s="49">
        <v>25</v>
      </c>
      <c r="AM76" s="51">
        <f t="shared" si="71"/>
        <v>75</v>
      </c>
      <c r="AN76" s="49" t="s">
        <v>150</v>
      </c>
      <c r="AO76" s="51" t="str">
        <f>IFERROR(VLOOKUP(AN76,'[1]back office'!$A$36:$B$38,2,FALSE),"-")</f>
        <v>-</v>
      </c>
    </row>
    <row r="77" spans="1:41">
      <c r="A77" s="47" t="s">
        <v>151</v>
      </c>
      <c r="B77" s="50" t="str">
        <f>IF(C77="","",IF(C77&gt;=PQCDSM!$G$4,"AA",IF(AND(C77&gt;=PQCDSM!$G$3,C77&lt;PQCDSM!$G$4),"A",IF(AND(C77&gt;=PQCDSM!$G$2,C77&lt;PQCDSM!$G$3),"B","C"))))</f>
        <v>A</v>
      </c>
      <c r="C77" s="50">
        <f t="shared" si="66"/>
        <v>191</v>
      </c>
      <c r="D77" s="49" t="s">
        <v>50</v>
      </c>
      <c r="E77" s="49" t="s">
        <v>73</v>
      </c>
      <c r="F77" s="49" t="s">
        <v>74</v>
      </c>
      <c r="G77" s="49" t="s">
        <v>53</v>
      </c>
      <c r="H77" s="49" t="s">
        <v>54</v>
      </c>
      <c r="I77" s="49" t="s">
        <v>55</v>
      </c>
      <c r="J77" s="50">
        <f>IFERROR(VLOOKUP(D77,'[1]back office'!$A$4:$B$6,2,FALSE),"-")</f>
        <v>25</v>
      </c>
      <c r="K77" s="50">
        <f>IFERROR(VLOOKUP(E77,'[1]back office'!$C$4:$D$6,2,FALSE),"-")</f>
        <v>0</v>
      </c>
      <c r="L77" s="50">
        <f>IFERROR(VLOOKUP(F77,'[1]back office'!$E$4:$F$6,2,FALSE),"-")</f>
        <v>15</v>
      </c>
      <c r="M77" s="50">
        <f>IFERROR(VLOOKUP(G77,'[1]back office'!$G$4:$H$6,2,FALSE),"-")</f>
        <v>15</v>
      </c>
      <c r="N77" s="50">
        <f>IFERROR(VLOOKUP(H77,'[1]back office'!$I$4:$J$6,2,FALSE),"-")</f>
        <v>0</v>
      </c>
      <c r="O77" s="50">
        <f>IFERROR(VLOOKUP(I77,'[1]back office'!$K$4:$L$6,2,FALSE),"-")</f>
        <v>35</v>
      </c>
      <c r="P77" s="51">
        <f t="shared" si="67"/>
        <v>90</v>
      </c>
      <c r="Q77" s="49" t="s">
        <v>54</v>
      </c>
      <c r="R77" s="49" t="s">
        <v>57</v>
      </c>
      <c r="S77" s="49" t="s">
        <v>58</v>
      </c>
      <c r="T77" s="50">
        <f>IFERROR(VLOOKUP(Q77,'[1]back office'!$A$11:$B$13,2,FALSE),"-")</f>
        <v>0</v>
      </c>
      <c r="U77" s="50">
        <f>IFERROR(VLOOKUP(R77,'[1]back office'!$C$11:$D$13,2,FALSE),"-")</f>
        <v>0</v>
      </c>
      <c r="V77" s="50" t="str">
        <f>IFERROR(VLOOKUP(S77,'[1]back office'!$E$11:$F$13,2,FALSE),"-")</f>
        <v>-</v>
      </c>
      <c r="W77" s="51">
        <f t="shared" si="68"/>
        <v>0</v>
      </c>
      <c r="X77" s="49" t="s">
        <v>70</v>
      </c>
      <c r="Y77" s="49" t="s">
        <v>84</v>
      </c>
      <c r="Z77" s="49" t="s">
        <v>75</v>
      </c>
      <c r="AA77" s="49" t="s">
        <v>76</v>
      </c>
      <c r="AB77" s="50" t="str">
        <f>IFERROR(VLOOKUP(X77,'[1]back office'!$A$17:$B$19,2,FALSE),"-")</f>
        <v>-</v>
      </c>
      <c r="AC77" s="50">
        <f>IFERROR(VLOOKUP(Y77,'[1]back office'!$C$17:$D$19,2,FALSE),"-")</f>
        <v>5</v>
      </c>
      <c r="AD77" s="50">
        <f>IFERROR(VLOOKUP(Z77,'[1]back office'!$E$17:$F$19,2,FALSE),"-")</f>
        <v>20</v>
      </c>
      <c r="AE77" s="50">
        <f>IFERROR(VLOOKUP(AA77,'[1]back office'!$G$17:$H$19,2,FALSE),"-")</f>
        <v>0</v>
      </c>
      <c r="AF77" s="51">
        <f t="shared" si="69"/>
        <v>25</v>
      </c>
      <c r="AG77" s="49" t="s">
        <v>63</v>
      </c>
      <c r="AH77" s="51">
        <f>IFERROR(VLOOKUP(AG77,'[1]back office'!$A$23:$B$25,2,FALSE),"-")</f>
        <v>0</v>
      </c>
      <c r="AI77" s="49">
        <v>50</v>
      </c>
      <c r="AJ77" s="49">
        <v>15</v>
      </c>
      <c r="AK77" s="49">
        <f t="shared" si="70"/>
        <v>50</v>
      </c>
      <c r="AL77" s="49">
        <v>26</v>
      </c>
      <c r="AM77" s="51">
        <f t="shared" si="71"/>
        <v>76</v>
      </c>
      <c r="AN77" s="49" t="s">
        <v>152</v>
      </c>
      <c r="AO77" s="51" t="str">
        <f>IFERROR(VLOOKUP(AN77,'[1]back office'!$A$36:$B$38,2,FALSE),"-")</f>
        <v>-</v>
      </c>
    </row>
    <row r="78" spans="1:41">
      <c r="A78" s="47" t="s">
        <v>153</v>
      </c>
      <c r="B78" s="50" t="str">
        <f>IF(C78="","",IF(C78&gt;=PQCDSM!$G$4,"AA",IF(AND(C78&gt;=PQCDSM!$G$3,C78&lt;PQCDSM!$G$4),"A",IF(AND(C78&gt;=PQCDSM!$G$2,C78&lt;PQCDSM!$G$3),"B","C"))))</f>
        <v>A</v>
      </c>
      <c r="C78" s="50">
        <f t="shared" si="66"/>
        <v>192</v>
      </c>
      <c r="D78" s="49" t="s">
        <v>50</v>
      </c>
      <c r="E78" s="49" t="s">
        <v>73</v>
      </c>
      <c r="F78" s="49" t="s">
        <v>74</v>
      </c>
      <c r="G78" s="49" t="s">
        <v>53</v>
      </c>
      <c r="H78" s="49" t="s">
        <v>54</v>
      </c>
      <c r="I78" s="49" t="s">
        <v>55</v>
      </c>
      <c r="J78" s="50">
        <f>IFERROR(VLOOKUP(D78,'[1]back office'!$A$4:$B$6,2,FALSE),"-")</f>
        <v>25</v>
      </c>
      <c r="K78" s="50">
        <f>IFERROR(VLOOKUP(E78,'[1]back office'!$C$4:$D$6,2,FALSE),"-")</f>
        <v>0</v>
      </c>
      <c r="L78" s="50">
        <f>IFERROR(VLOOKUP(F78,'[1]back office'!$E$4:$F$6,2,FALSE),"-")</f>
        <v>15</v>
      </c>
      <c r="M78" s="50">
        <f>IFERROR(VLOOKUP(G78,'[1]back office'!$G$4:$H$6,2,FALSE),"-")</f>
        <v>15</v>
      </c>
      <c r="N78" s="50">
        <f>IFERROR(VLOOKUP(H78,'[1]back office'!$I$4:$J$6,2,FALSE),"-")</f>
        <v>0</v>
      </c>
      <c r="O78" s="50">
        <f>IFERROR(VLOOKUP(I78,'[1]back office'!$K$4:$L$6,2,FALSE),"-")</f>
        <v>35</v>
      </c>
      <c r="P78" s="51">
        <f t="shared" si="67"/>
        <v>90</v>
      </c>
      <c r="Q78" s="49" t="s">
        <v>54</v>
      </c>
      <c r="R78" s="49" t="s">
        <v>57</v>
      </c>
      <c r="S78" s="49" t="s">
        <v>58</v>
      </c>
      <c r="T78" s="50">
        <f>IFERROR(VLOOKUP(Q78,'[1]back office'!$A$11:$B$13,2,FALSE),"-")</f>
        <v>0</v>
      </c>
      <c r="U78" s="50">
        <f>IFERROR(VLOOKUP(R78,'[1]back office'!$C$11:$D$13,2,FALSE),"-")</f>
        <v>0</v>
      </c>
      <c r="V78" s="50" t="str">
        <f>IFERROR(VLOOKUP(S78,'[1]back office'!$E$11:$F$13,2,FALSE),"-")</f>
        <v>-</v>
      </c>
      <c r="W78" s="51">
        <f t="shared" si="68"/>
        <v>0</v>
      </c>
      <c r="X78" s="49" t="s">
        <v>70</v>
      </c>
      <c r="Y78" s="49" t="s">
        <v>84</v>
      </c>
      <c r="Z78" s="49" t="s">
        <v>75</v>
      </c>
      <c r="AA78" s="49" t="s">
        <v>76</v>
      </c>
      <c r="AB78" s="50" t="str">
        <f>IFERROR(VLOOKUP(X78,'[1]back office'!$A$17:$B$19,2,FALSE),"-")</f>
        <v>-</v>
      </c>
      <c r="AC78" s="50">
        <f>IFERROR(VLOOKUP(Y78,'[1]back office'!$C$17:$D$19,2,FALSE),"-")</f>
        <v>5</v>
      </c>
      <c r="AD78" s="50">
        <f>IFERROR(VLOOKUP(Z78,'[1]back office'!$E$17:$F$19,2,FALSE),"-")</f>
        <v>20</v>
      </c>
      <c r="AE78" s="50">
        <f>IFERROR(VLOOKUP(AA78,'[1]back office'!$G$17:$H$19,2,FALSE),"-")</f>
        <v>0</v>
      </c>
      <c r="AF78" s="51">
        <f t="shared" si="69"/>
        <v>25</v>
      </c>
      <c r="AG78" s="49" t="s">
        <v>63</v>
      </c>
      <c r="AH78" s="51">
        <f>IFERROR(VLOOKUP(AG78,'[1]back office'!$A$23:$B$25,2,FALSE),"-")</f>
        <v>0</v>
      </c>
      <c r="AI78" s="49">
        <v>50</v>
      </c>
      <c r="AJ78" s="49">
        <v>15</v>
      </c>
      <c r="AK78" s="49">
        <f t="shared" si="70"/>
        <v>50</v>
      </c>
      <c r="AL78" s="49">
        <v>27</v>
      </c>
      <c r="AM78" s="51">
        <f t="shared" si="71"/>
        <v>77</v>
      </c>
      <c r="AN78" s="49" t="s">
        <v>154</v>
      </c>
      <c r="AO78" s="51" t="str">
        <f>IFERROR(VLOOKUP(AN78,'[1]back office'!$A$36:$B$38,2,FALSE),"-")</f>
        <v>-</v>
      </c>
    </row>
    <row r="79" spans="1:41">
      <c r="A79" s="47" t="s">
        <v>155</v>
      </c>
      <c r="B79" s="50" t="str">
        <f>IF(C79="","",IF(C79&gt;=PQCDSM!$G$4,"AA",IF(AND(C79&gt;=PQCDSM!$G$3,C79&lt;PQCDSM!$G$4),"A",IF(AND(C79&gt;=PQCDSM!$G$2,C79&lt;PQCDSM!$G$3),"B","C"))))</f>
        <v>A</v>
      </c>
      <c r="C79" s="50">
        <f t="shared" si="66"/>
        <v>208</v>
      </c>
      <c r="D79" s="49" t="s">
        <v>50</v>
      </c>
      <c r="E79" s="49" t="s">
        <v>92</v>
      </c>
      <c r="F79" s="49" t="s">
        <v>74</v>
      </c>
      <c r="G79" s="49" t="s">
        <v>53</v>
      </c>
      <c r="H79" s="49" t="s">
        <v>54</v>
      </c>
      <c r="I79" s="49" t="s">
        <v>55</v>
      </c>
      <c r="J79" s="50">
        <f>IFERROR(VLOOKUP(D79,'[1]back office'!$A$4:$B$6,2,FALSE),"-")</f>
        <v>25</v>
      </c>
      <c r="K79" s="50">
        <f>IFERROR(VLOOKUP(E79,'[1]back office'!$C$4:$D$6,2,FALSE),"-")</f>
        <v>15</v>
      </c>
      <c r="L79" s="50">
        <f>IFERROR(VLOOKUP(F79,'[1]back office'!$E$4:$F$6,2,FALSE),"-")</f>
        <v>15</v>
      </c>
      <c r="M79" s="50">
        <f>IFERROR(VLOOKUP(G79,'[1]back office'!$G$4:$H$6,2,FALSE),"-")</f>
        <v>15</v>
      </c>
      <c r="N79" s="50">
        <f>IFERROR(VLOOKUP(H79,'[1]back office'!$I$4:$J$6,2,FALSE),"-")</f>
        <v>0</v>
      </c>
      <c r="O79" s="50">
        <f>IFERROR(VLOOKUP(I79,'[1]back office'!$K$4:$L$6,2,FALSE),"-")</f>
        <v>35</v>
      </c>
      <c r="P79" s="51">
        <f t="shared" si="67"/>
        <v>105</v>
      </c>
      <c r="Q79" s="49" t="s">
        <v>54</v>
      </c>
      <c r="R79" s="49" t="s">
        <v>57</v>
      </c>
      <c r="S79" s="49" t="s">
        <v>58</v>
      </c>
      <c r="T79" s="50">
        <f>IFERROR(VLOOKUP(Q79,'[1]back office'!$A$11:$B$13,2,FALSE),"-")</f>
        <v>0</v>
      </c>
      <c r="U79" s="50">
        <f>IFERROR(VLOOKUP(R79,'[1]back office'!$C$11:$D$13,2,FALSE),"-")</f>
        <v>0</v>
      </c>
      <c r="V79" s="50" t="str">
        <f>IFERROR(VLOOKUP(S79,'[1]back office'!$E$11:$F$13,2,FALSE),"-")</f>
        <v>-</v>
      </c>
      <c r="W79" s="51">
        <f t="shared" si="68"/>
        <v>0</v>
      </c>
      <c r="X79" s="49" t="s">
        <v>70</v>
      </c>
      <c r="Y79" s="49" t="s">
        <v>84</v>
      </c>
      <c r="Z79" s="49" t="s">
        <v>75</v>
      </c>
      <c r="AA79" s="49" t="s">
        <v>76</v>
      </c>
      <c r="AB79" s="50" t="str">
        <f>IFERROR(VLOOKUP(X79,'[1]back office'!$A$17:$B$19,2,FALSE),"-")</f>
        <v>-</v>
      </c>
      <c r="AC79" s="50">
        <f>IFERROR(VLOOKUP(Y79,'[1]back office'!$C$17:$D$19,2,FALSE),"-")</f>
        <v>5</v>
      </c>
      <c r="AD79" s="50">
        <f>IFERROR(VLOOKUP(Z79,'[1]back office'!$E$17:$F$19,2,FALSE),"-")</f>
        <v>20</v>
      </c>
      <c r="AE79" s="50">
        <f>IFERROR(VLOOKUP(AA79,'[1]back office'!$G$17:$H$19,2,FALSE),"-")</f>
        <v>0</v>
      </c>
      <c r="AF79" s="51">
        <f t="shared" si="69"/>
        <v>25</v>
      </c>
      <c r="AG79" s="49" t="s">
        <v>63</v>
      </c>
      <c r="AH79" s="51">
        <f>IFERROR(VLOOKUP(AG79,'[1]back office'!$A$23:$B$25,2,FALSE),"-")</f>
        <v>0</v>
      </c>
      <c r="AI79" s="49">
        <v>50</v>
      </c>
      <c r="AJ79" s="49">
        <v>15</v>
      </c>
      <c r="AK79" s="49">
        <f t="shared" si="70"/>
        <v>50</v>
      </c>
      <c r="AL79" s="49">
        <v>28</v>
      </c>
      <c r="AM79" s="51">
        <f t="shared" si="71"/>
        <v>78</v>
      </c>
      <c r="AN79" s="49" t="s">
        <v>156</v>
      </c>
      <c r="AO79" s="51" t="str">
        <f>IFERROR(VLOOKUP(AN79,'[1]back office'!$A$36:$B$38,2,FALSE),"-")</f>
        <v>-</v>
      </c>
    </row>
    <row r="80" spans="1:41">
      <c r="A80" s="47" t="s">
        <v>157</v>
      </c>
      <c r="B80" s="50" t="str">
        <f>IF(C80="","",IF(C80&gt;=PQCDSM!$G$4,"AA",IF(AND(C80&gt;=PQCDSM!$G$3,C80&lt;PQCDSM!$G$4),"A",IF(AND(C80&gt;=PQCDSM!$G$2,C80&lt;PQCDSM!$G$3),"B","C"))))</f>
        <v>A</v>
      </c>
      <c r="C80" s="50">
        <f t="shared" si="66"/>
        <v>194</v>
      </c>
      <c r="D80" s="49" t="s">
        <v>50</v>
      </c>
      <c r="E80" s="49" t="s">
        <v>73</v>
      </c>
      <c r="F80" s="49" t="s">
        <v>74</v>
      </c>
      <c r="G80" s="49" t="s">
        <v>53</v>
      </c>
      <c r="H80" s="49" t="s">
        <v>54</v>
      </c>
      <c r="I80" s="49" t="s">
        <v>55</v>
      </c>
      <c r="J80" s="50">
        <f>IFERROR(VLOOKUP(D80,'[1]back office'!$A$4:$B$6,2,FALSE),"-")</f>
        <v>25</v>
      </c>
      <c r="K80" s="50">
        <f>IFERROR(VLOOKUP(E80,'[1]back office'!$C$4:$D$6,2,FALSE),"-")</f>
        <v>0</v>
      </c>
      <c r="L80" s="50">
        <f>IFERROR(VLOOKUP(F80,'[1]back office'!$E$4:$F$6,2,FALSE),"-")</f>
        <v>15</v>
      </c>
      <c r="M80" s="50">
        <f>IFERROR(VLOOKUP(G80,'[1]back office'!$G$4:$H$6,2,FALSE),"-")</f>
        <v>15</v>
      </c>
      <c r="N80" s="50">
        <f>IFERROR(VLOOKUP(H80,'[1]back office'!$I$4:$J$6,2,FALSE),"-")</f>
        <v>0</v>
      </c>
      <c r="O80" s="50">
        <f>IFERROR(VLOOKUP(I80,'[1]back office'!$K$4:$L$6,2,FALSE),"-")</f>
        <v>35</v>
      </c>
      <c r="P80" s="51">
        <f t="shared" si="67"/>
        <v>90</v>
      </c>
      <c r="Q80" s="49" t="s">
        <v>54</v>
      </c>
      <c r="R80" s="49" t="s">
        <v>57</v>
      </c>
      <c r="S80" s="49" t="s">
        <v>58</v>
      </c>
      <c r="T80" s="50">
        <f>IFERROR(VLOOKUP(Q80,'[1]back office'!$A$11:$B$13,2,FALSE),"-")</f>
        <v>0</v>
      </c>
      <c r="U80" s="50">
        <f>IFERROR(VLOOKUP(R80,'[1]back office'!$C$11:$D$13,2,FALSE),"-")</f>
        <v>0</v>
      </c>
      <c r="V80" s="50" t="str">
        <f>IFERROR(VLOOKUP(S80,'[1]back office'!$E$11:$F$13,2,FALSE),"-")</f>
        <v>-</v>
      </c>
      <c r="W80" s="51">
        <f t="shared" si="68"/>
        <v>0</v>
      </c>
      <c r="X80" s="49" t="s">
        <v>70</v>
      </c>
      <c r="Y80" s="49" t="s">
        <v>84</v>
      </c>
      <c r="Z80" s="49" t="s">
        <v>75</v>
      </c>
      <c r="AA80" s="49" t="s">
        <v>76</v>
      </c>
      <c r="AB80" s="50" t="str">
        <f>IFERROR(VLOOKUP(X80,'[1]back office'!$A$17:$B$19,2,FALSE),"-")</f>
        <v>-</v>
      </c>
      <c r="AC80" s="50">
        <f>IFERROR(VLOOKUP(Y80,'[1]back office'!$C$17:$D$19,2,FALSE),"-")</f>
        <v>5</v>
      </c>
      <c r="AD80" s="50">
        <f>IFERROR(VLOOKUP(Z80,'[1]back office'!$E$17:$F$19,2,FALSE),"-")</f>
        <v>20</v>
      </c>
      <c r="AE80" s="50">
        <f>IFERROR(VLOOKUP(AA80,'[1]back office'!$G$17:$H$19,2,FALSE),"-")</f>
        <v>0</v>
      </c>
      <c r="AF80" s="51">
        <f t="shared" si="69"/>
        <v>25</v>
      </c>
      <c r="AG80" s="49" t="s">
        <v>63</v>
      </c>
      <c r="AH80" s="51">
        <f>IFERROR(VLOOKUP(AG80,'[1]back office'!$A$23:$B$25,2,FALSE),"-")</f>
        <v>0</v>
      </c>
      <c r="AI80" s="49">
        <v>50</v>
      </c>
      <c r="AJ80" s="49">
        <v>15</v>
      </c>
      <c r="AK80" s="49">
        <f t="shared" si="70"/>
        <v>50</v>
      </c>
      <c r="AL80" s="49">
        <v>29</v>
      </c>
      <c r="AM80" s="51">
        <f t="shared" si="71"/>
        <v>79</v>
      </c>
      <c r="AN80" s="49" t="s">
        <v>158</v>
      </c>
      <c r="AO80" s="51" t="str">
        <f>IFERROR(VLOOKUP(AN80,'[1]back office'!$A$36:$B$38,2,FALSE),"-")</f>
        <v>-</v>
      </c>
    </row>
    <row r="81" spans="1:41">
      <c r="A81" s="47" t="s">
        <v>159</v>
      </c>
      <c r="B81" s="50" t="str">
        <f>IF(C81="","",IF(C81&gt;=PQCDSM!$G$4,"AA",IF(AND(C81&gt;=PQCDSM!$G$3,C81&lt;PQCDSM!$G$4),"A",IF(AND(C81&gt;=PQCDSM!$G$2,C81&lt;PQCDSM!$G$3),"B","C"))))</f>
        <v>A</v>
      </c>
      <c r="C81" s="50">
        <f t="shared" si="66"/>
        <v>195</v>
      </c>
      <c r="D81" s="49" t="s">
        <v>50</v>
      </c>
      <c r="E81" s="49" t="s">
        <v>73</v>
      </c>
      <c r="F81" s="49" t="s">
        <v>74</v>
      </c>
      <c r="G81" s="49" t="s">
        <v>53</v>
      </c>
      <c r="H81" s="49" t="s">
        <v>54</v>
      </c>
      <c r="I81" s="49" t="s">
        <v>55</v>
      </c>
      <c r="J81" s="50">
        <f>IFERROR(VLOOKUP(D81,'[1]back office'!$A$4:$B$6,2,FALSE),"-")</f>
        <v>25</v>
      </c>
      <c r="K81" s="50">
        <f>IFERROR(VLOOKUP(E81,'[1]back office'!$C$4:$D$6,2,FALSE),"-")</f>
        <v>0</v>
      </c>
      <c r="L81" s="50">
        <f>IFERROR(VLOOKUP(F81,'[1]back office'!$E$4:$F$6,2,FALSE),"-")</f>
        <v>15</v>
      </c>
      <c r="M81" s="50">
        <f>IFERROR(VLOOKUP(G81,'[1]back office'!$G$4:$H$6,2,FALSE),"-")</f>
        <v>15</v>
      </c>
      <c r="N81" s="50">
        <f>IFERROR(VLOOKUP(H81,'[1]back office'!$I$4:$J$6,2,FALSE),"-")</f>
        <v>0</v>
      </c>
      <c r="O81" s="50">
        <f>IFERROR(VLOOKUP(I81,'[1]back office'!$K$4:$L$6,2,FALSE),"-")</f>
        <v>35</v>
      </c>
      <c r="P81" s="51">
        <f t="shared" si="67"/>
        <v>90</v>
      </c>
      <c r="Q81" s="49" t="s">
        <v>54</v>
      </c>
      <c r="R81" s="49" t="s">
        <v>57</v>
      </c>
      <c r="S81" s="49" t="s">
        <v>58</v>
      </c>
      <c r="T81" s="50">
        <f>IFERROR(VLOOKUP(Q81,'[1]back office'!$A$11:$B$13,2,FALSE),"-")</f>
        <v>0</v>
      </c>
      <c r="U81" s="50">
        <f>IFERROR(VLOOKUP(R81,'[1]back office'!$C$11:$D$13,2,FALSE),"-")</f>
        <v>0</v>
      </c>
      <c r="V81" s="50" t="str">
        <f>IFERROR(VLOOKUP(S81,'[1]back office'!$E$11:$F$13,2,FALSE),"-")</f>
        <v>-</v>
      </c>
      <c r="W81" s="51">
        <f t="shared" si="68"/>
        <v>0</v>
      </c>
      <c r="X81" s="49" t="s">
        <v>70</v>
      </c>
      <c r="Y81" s="49" t="s">
        <v>84</v>
      </c>
      <c r="Z81" s="49" t="s">
        <v>75</v>
      </c>
      <c r="AA81" s="49" t="s">
        <v>76</v>
      </c>
      <c r="AB81" s="50" t="str">
        <f>IFERROR(VLOOKUP(X81,'[1]back office'!$A$17:$B$19,2,FALSE),"-")</f>
        <v>-</v>
      </c>
      <c r="AC81" s="50">
        <f>IFERROR(VLOOKUP(Y81,'[1]back office'!$C$17:$D$19,2,FALSE),"-")</f>
        <v>5</v>
      </c>
      <c r="AD81" s="50">
        <f>IFERROR(VLOOKUP(Z81,'[1]back office'!$E$17:$F$19,2,FALSE),"-")</f>
        <v>20</v>
      </c>
      <c r="AE81" s="50">
        <f>IFERROR(VLOOKUP(AA81,'[1]back office'!$G$17:$H$19,2,FALSE),"-")</f>
        <v>0</v>
      </c>
      <c r="AF81" s="51">
        <f t="shared" si="69"/>
        <v>25</v>
      </c>
      <c r="AG81" s="49" t="s">
        <v>63</v>
      </c>
      <c r="AH81" s="51">
        <f>IFERROR(VLOOKUP(AG81,'[1]back office'!$A$23:$B$25,2,FALSE),"-")</f>
        <v>0</v>
      </c>
      <c r="AI81" s="49">
        <v>50</v>
      </c>
      <c r="AJ81" s="49">
        <v>15</v>
      </c>
      <c r="AK81" s="49">
        <f t="shared" si="70"/>
        <v>50</v>
      </c>
      <c r="AL81" s="49">
        <v>30</v>
      </c>
      <c r="AM81" s="51">
        <f t="shared" si="71"/>
        <v>80</v>
      </c>
      <c r="AN81" s="49" t="s">
        <v>160</v>
      </c>
      <c r="AO81" s="51" t="str">
        <f>IFERROR(VLOOKUP(AN81,'[1]back office'!$A$36:$B$38,2,FALSE),"-")</f>
        <v>-</v>
      </c>
    </row>
    <row r="82" spans="1:41">
      <c r="A82" s="47" t="s">
        <v>161</v>
      </c>
      <c r="B82" s="50" t="str">
        <f>IF(C82="","",IF(C82&gt;=PQCDSM!$G$4,"AA",IF(AND(C82&gt;=PQCDSM!$G$3,C82&lt;PQCDSM!$G$4),"A",IF(AND(C82&gt;=PQCDSM!$G$2,C82&lt;PQCDSM!$G$3),"B","C"))))</f>
        <v>A</v>
      </c>
      <c r="C82" s="50">
        <f t="shared" si="66"/>
        <v>196</v>
      </c>
      <c r="D82" s="49" t="s">
        <v>50</v>
      </c>
      <c r="E82" s="49" t="s">
        <v>73</v>
      </c>
      <c r="F82" s="49" t="s">
        <v>74</v>
      </c>
      <c r="G82" s="49" t="s">
        <v>53</v>
      </c>
      <c r="H82" s="49" t="s">
        <v>54</v>
      </c>
      <c r="I82" s="49" t="s">
        <v>55</v>
      </c>
      <c r="J82" s="50">
        <f>IFERROR(VLOOKUP(D82,'[1]back office'!$A$4:$B$6,2,FALSE),"-")</f>
        <v>25</v>
      </c>
      <c r="K82" s="50">
        <f>IFERROR(VLOOKUP(E82,'[1]back office'!$C$4:$D$6,2,FALSE),"-")</f>
        <v>0</v>
      </c>
      <c r="L82" s="50">
        <f>IFERROR(VLOOKUP(F82,'[1]back office'!$E$4:$F$6,2,FALSE),"-")</f>
        <v>15</v>
      </c>
      <c r="M82" s="50">
        <f>IFERROR(VLOOKUP(G82,'[1]back office'!$G$4:$H$6,2,FALSE),"-")</f>
        <v>15</v>
      </c>
      <c r="N82" s="50">
        <f>IFERROR(VLOOKUP(H82,'[1]back office'!$I$4:$J$6,2,FALSE),"-")</f>
        <v>0</v>
      </c>
      <c r="O82" s="50">
        <f>IFERROR(VLOOKUP(I82,'[1]back office'!$K$4:$L$6,2,FALSE),"-")</f>
        <v>35</v>
      </c>
      <c r="P82" s="51">
        <f t="shared" si="67"/>
        <v>90</v>
      </c>
      <c r="Q82" s="49" t="s">
        <v>54</v>
      </c>
      <c r="R82" s="49" t="s">
        <v>57</v>
      </c>
      <c r="S82" s="49" t="s">
        <v>58</v>
      </c>
      <c r="T82" s="50">
        <f>IFERROR(VLOOKUP(Q82,'[1]back office'!$A$11:$B$13,2,FALSE),"-")</f>
        <v>0</v>
      </c>
      <c r="U82" s="50">
        <f>IFERROR(VLOOKUP(R82,'[1]back office'!$C$11:$D$13,2,FALSE),"-")</f>
        <v>0</v>
      </c>
      <c r="V82" s="50" t="str">
        <f>IFERROR(VLOOKUP(S82,'[1]back office'!$E$11:$F$13,2,FALSE),"-")</f>
        <v>-</v>
      </c>
      <c r="W82" s="51">
        <f t="shared" si="68"/>
        <v>0</v>
      </c>
      <c r="X82" s="49" t="s">
        <v>70</v>
      </c>
      <c r="Y82" s="49" t="s">
        <v>84</v>
      </c>
      <c r="Z82" s="49" t="s">
        <v>75</v>
      </c>
      <c r="AA82" s="49" t="s">
        <v>76</v>
      </c>
      <c r="AB82" s="50" t="str">
        <f>IFERROR(VLOOKUP(X82,'[1]back office'!$A$17:$B$19,2,FALSE),"-")</f>
        <v>-</v>
      </c>
      <c r="AC82" s="50">
        <f>IFERROR(VLOOKUP(Y82,'[1]back office'!$C$17:$D$19,2,FALSE),"-")</f>
        <v>5</v>
      </c>
      <c r="AD82" s="50">
        <f>IFERROR(VLOOKUP(Z82,'[1]back office'!$E$17:$F$19,2,FALSE),"-")</f>
        <v>20</v>
      </c>
      <c r="AE82" s="50">
        <f>IFERROR(VLOOKUP(AA82,'[1]back office'!$G$17:$H$19,2,FALSE),"-")</f>
        <v>0</v>
      </c>
      <c r="AF82" s="51">
        <f t="shared" si="69"/>
        <v>25</v>
      </c>
      <c r="AG82" s="49" t="s">
        <v>63</v>
      </c>
      <c r="AH82" s="51">
        <f>IFERROR(VLOOKUP(AG82,'[1]back office'!$A$23:$B$25,2,FALSE),"-")</f>
        <v>0</v>
      </c>
      <c r="AI82" s="49">
        <v>50</v>
      </c>
      <c r="AJ82" s="49">
        <v>15</v>
      </c>
      <c r="AK82" s="49">
        <f t="shared" si="70"/>
        <v>50</v>
      </c>
      <c r="AL82" s="49">
        <v>31</v>
      </c>
      <c r="AM82" s="51">
        <f t="shared" si="71"/>
        <v>81</v>
      </c>
      <c r="AN82" s="49" t="s">
        <v>162</v>
      </c>
      <c r="AO82" s="51" t="str">
        <f>IFERROR(VLOOKUP(AN82,'[1]back office'!$A$36:$B$38,2,FALSE),"-")</f>
        <v>-</v>
      </c>
    </row>
    <row r="83" spans="1:41">
      <c r="A83" s="47" t="s">
        <v>163</v>
      </c>
      <c r="B83" s="50" t="str">
        <f>IF(C83="","",IF(C83&gt;=PQCDSM!$G$4,"AA",IF(AND(C83&gt;=PQCDSM!$G$3,C83&lt;PQCDSM!$G$4),"A",IF(AND(C83&gt;=PQCDSM!$G$2,C83&lt;PQCDSM!$G$3),"B","C"))))</f>
        <v>A</v>
      </c>
      <c r="C83" s="50">
        <f t="shared" si="66"/>
        <v>197</v>
      </c>
      <c r="D83" s="49" t="s">
        <v>50</v>
      </c>
      <c r="E83" s="49" t="s">
        <v>73</v>
      </c>
      <c r="F83" s="49" t="s">
        <v>74</v>
      </c>
      <c r="G83" s="49" t="s">
        <v>53</v>
      </c>
      <c r="H83" s="49" t="s">
        <v>54</v>
      </c>
      <c r="I83" s="49" t="s">
        <v>55</v>
      </c>
      <c r="J83" s="50">
        <f>IFERROR(VLOOKUP(D83,'[1]back office'!$A$4:$B$6,2,FALSE),"-")</f>
        <v>25</v>
      </c>
      <c r="K83" s="50">
        <f>IFERROR(VLOOKUP(E83,'[1]back office'!$C$4:$D$6,2,FALSE),"-")</f>
        <v>0</v>
      </c>
      <c r="L83" s="50">
        <f>IFERROR(VLOOKUP(F83,'[1]back office'!$E$4:$F$6,2,FALSE),"-")</f>
        <v>15</v>
      </c>
      <c r="M83" s="50">
        <f>IFERROR(VLOOKUP(G83,'[1]back office'!$G$4:$H$6,2,FALSE),"-")</f>
        <v>15</v>
      </c>
      <c r="N83" s="50">
        <f>IFERROR(VLOOKUP(H83,'[1]back office'!$I$4:$J$6,2,FALSE),"-")</f>
        <v>0</v>
      </c>
      <c r="O83" s="50">
        <f>IFERROR(VLOOKUP(I83,'[1]back office'!$K$4:$L$6,2,FALSE),"-")</f>
        <v>35</v>
      </c>
      <c r="P83" s="51">
        <f t="shared" si="67"/>
        <v>90</v>
      </c>
      <c r="Q83" s="49" t="s">
        <v>54</v>
      </c>
      <c r="R83" s="49" t="s">
        <v>57</v>
      </c>
      <c r="S83" s="49" t="s">
        <v>58</v>
      </c>
      <c r="T83" s="50">
        <f>IFERROR(VLOOKUP(Q83,'[1]back office'!$A$11:$B$13,2,FALSE),"-")</f>
        <v>0</v>
      </c>
      <c r="U83" s="50">
        <f>IFERROR(VLOOKUP(R83,'[1]back office'!$C$11:$D$13,2,FALSE),"-")</f>
        <v>0</v>
      </c>
      <c r="V83" s="50" t="str">
        <f>IFERROR(VLOOKUP(S83,'[1]back office'!$E$11:$F$13,2,FALSE),"-")</f>
        <v>-</v>
      </c>
      <c r="W83" s="51">
        <f t="shared" si="68"/>
        <v>0</v>
      </c>
      <c r="X83" s="49" t="s">
        <v>70</v>
      </c>
      <c r="Y83" s="49" t="s">
        <v>84</v>
      </c>
      <c r="Z83" s="49" t="s">
        <v>75</v>
      </c>
      <c r="AA83" s="49" t="s">
        <v>76</v>
      </c>
      <c r="AB83" s="50" t="str">
        <f>IFERROR(VLOOKUP(X83,'[1]back office'!$A$17:$B$19,2,FALSE),"-")</f>
        <v>-</v>
      </c>
      <c r="AC83" s="50">
        <f>IFERROR(VLOOKUP(Y83,'[1]back office'!$C$17:$D$19,2,FALSE),"-")</f>
        <v>5</v>
      </c>
      <c r="AD83" s="50">
        <f>IFERROR(VLOOKUP(Z83,'[1]back office'!$E$17:$F$19,2,FALSE),"-")</f>
        <v>20</v>
      </c>
      <c r="AE83" s="50">
        <f>IFERROR(VLOOKUP(AA83,'[1]back office'!$G$17:$H$19,2,FALSE),"-")</f>
        <v>0</v>
      </c>
      <c r="AF83" s="51">
        <f t="shared" si="69"/>
        <v>25</v>
      </c>
      <c r="AG83" s="49" t="s">
        <v>63</v>
      </c>
      <c r="AH83" s="51">
        <f>IFERROR(VLOOKUP(AG83,'[1]back office'!$A$23:$B$25,2,FALSE),"-")</f>
        <v>0</v>
      </c>
      <c r="AI83" s="49">
        <v>50</v>
      </c>
      <c r="AJ83" s="49">
        <v>15</v>
      </c>
      <c r="AK83" s="49">
        <f t="shared" si="70"/>
        <v>50</v>
      </c>
      <c r="AL83" s="49">
        <v>32</v>
      </c>
      <c r="AM83" s="51">
        <f t="shared" si="71"/>
        <v>82</v>
      </c>
      <c r="AN83" s="49" t="s">
        <v>164</v>
      </c>
      <c r="AO83" s="51" t="str">
        <f>IFERROR(VLOOKUP(AN83,'[1]back office'!$A$36:$B$38,2,FALSE),"-")</f>
        <v>-</v>
      </c>
    </row>
    <row r="84" spans="1:41">
      <c r="A84" s="47" t="s">
        <v>165</v>
      </c>
      <c r="B84" s="50" t="str">
        <f>IF(C84="","",IF(C84&gt;=PQCDSM!$G$4,"AA",IF(AND(C84&gt;=PQCDSM!$G$3,C84&lt;PQCDSM!$G$4),"A",IF(AND(C84&gt;=PQCDSM!$G$2,C84&lt;PQCDSM!$G$3),"B","C"))))</f>
        <v>A</v>
      </c>
      <c r="C84" s="50">
        <f t="shared" si="66"/>
        <v>213</v>
      </c>
      <c r="D84" s="49" t="s">
        <v>50</v>
      </c>
      <c r="E84" s="49" t="s">
        <v>92</v>
      </c>
      <c r="F84" s="49" t="s">
        <v>74</v>
      </c>
      <c r="G84" s="49" t="s">
        <v>53</v>
      </c>
      <c r="H84" s="49" t="s">
        <v>54</v>
      </c>
      <c r="I84" s="49" t="s">
        <v>55</v>
      </c>
      <c r="J84" s="50">
        <f>IFERROR(VLOOKUP(D84,'[1]back office'!$A$4:$B$6,2,FALSE),"-")</f>
        <v>25</v>
      </c>
      <c r="K84" s="50">
        <f>IFERROR(VLOOKUP(E84,'[1]back office'!$C$4:$D$6,2,FALSE),"-")</f>
        <v>15</v>
      </c>
      <c r="L84" s="50">
        <f>IFERROR(VLOOKUP(F84,'[1]back office'!$E$4:$F$6,2,FALSE),"-")</f>
        <v>15</v>
      </c>
      <c r="M84" s="50">
        <f>IFERROR(VLOOKUP(G84,'[1]back office'!$G$4:$H$6,2,FALSE),"-")</f>
        <v>15</v>
      </c>
      <c r="N84" s="50">
        <f>IFERROR(VLOOKUP(H84,'[1]back office'!$I$4:$J$6,2,FALSE),"-")</f>
        <v>0</v>
      </c>
      <c r="O84" s="50">
        <f>IFERROR(VLOOKUP(I84,'[1]back office'!$K$4:$L$6,2,FALSE),"-")</f>
        <v>35</v>
      </c>
      <c r="P84" s="51">
        <f t="shared" si="67"/>
        <v>105</v>
      </c>
      <c r="Q84" s="49" t="s">
        <v>54</v>
      </c>
      <c r="R84" s="49" t="s">
        <v>57</v>
      </c>
      <c r="S84" s="49" t="s">
        <v>58</v>
      </c>
      <c r="T84" s="50">
        <f>IFERROR(VLOOKUP(Q84,'[1]back office'!$A$11:$B$13,2,FALSE),"-")</f>
        <v>0</v>
      </c>
      <c r="U84" s="50">
        <f>IFERROR(VLOOKUP(R84,'[1]back office'!$C$11:$D$13,2,FALSE),"-")</f>
        <v>0</v>
      </c>
      <c r="V84" s="50" t="str">
        <f>IFERROR(VLOOKUP(S84,'[1]back office'!$E$11:$F$13,2,FALSE),"-")</f>
        <v>-</v>
      </c>
      <c r="W84" s="51">
        <f t="shared" si="68"/>
        <v>0</v>
      </c>
      <c r="X84" s="49" t="s">
        <v>70</v>
      </c>
      <c r="Y84" s="49" t="s">
        <v>84</v>
      </c>
      <c r="Z84" s="49" t="s">
        <v>75</v>
      </c>
      <c r="AA84" s="49" t="s">
        <v>76</v>
      </c>
      <c r="AB84" s="50" t="str">
        <f>IFERROR(VLOOKUP(X84,'[1]back office'!$A$17:$B$19,2,FALSE),"-")</f>
        <v>-</v>
      </c>
      <c r="AC84" s="50">
        <f>IFERROR(VLOOKUP(Y84,'[1]back office'!$C$17:$D$19,2,FALSE),"-")</f>
        <v>5</v>
      </c>
      <c r="AD84" s="50">
        <f>IFERROR(VLOOKUP(Z84,'[1]back office'!$E$17:$F$19,2,FALSE),"-")</f>
        <v>20</v>
      </c>
      <c r="AE84" s="50">
        <f>IFERROR(VLOOKUP(AA84,'[1]back office'!$G$17:$H$19,2,FALSE),"-")</f>
        <v>0</v>
      </c>
      <c r="AF84" s="51">
        <f t="shared" si="69"/>
        <v>25</v>
      </c>
      <c r="AG84" s="49" t="s">
        <v>63</v>
      </c>
      <c r="AH84" s="51">
        <f>IFERROR(VLOOKUP(AG84,'[1]back office'!$A$23:$B$25,2,FALSE),"-")</f>
        <v>0</v>
      </c>
      <c r="AI84" s="49">
        <v>50</v>
      </c>
      <c r="AJ84" s="49">
        <v>15</v>
      </c>
      <c r="AK84" s="49">
        <f t="shared" si="70"/>
        <v>50</v>
      </c>
      <c r="AL84" s="49">
        <v>33</v>
      </c>
      <c r="AM84" s="51">
        <f t="shared" si="71"/>
        <v>83</v>
      </c>
      <c r="AN84" s="49" t="s">
        <v>166</v>
      </c>
      <c r="AO84" s="51" t="str">
        <f>IFERROR(VLOOKUP(AN84,'[1]back office'!$A$36:$B$38,2,FALSE),"-")</f>
        <v>-</v>
      </c>
    </row>
    <row r="85" spans="1:41">
      <c r="A85" s="47" t="s">
        <v>167</v>
      </c>
      <c r="B85" s="50" t="str">
        <f>IF(C85="","",IF(C85&gt;=PQCDSM!$G$4,"AA",IF(AND(C85&gt;=PQCDSM!$G$3,C85&lt;PQCDSM!$G$4),"A",IF(AND(C85&gt;=PQCDSM!$G$2,C85&lt;PQCDSM!$G$3),"B","C"))))</f>
        <v>A</v>
      </c>
      <c r="C85" s="50">
        <f t="shared" si="66"/>
        <v>199</v>
      </c>
      <c r="D85" s="49" t="s">
        <v>50</v>
      </c>
      <c r="E85" s="49" t="s">
        <v>73</v>
      </c>
      <c r="F85" s="49" t="s">
        <v>74</v>
      </c>
      <c r="G85" s="49" t="s">
        <v>53</v>
      </c>
      <c r="H85" s="49" t="s">
        <v>54</v>
      </c>
      <c r="I85" s="49" t="s">
        <v>55</v>
      </c>
      <c r="J85" s="50">
        <f>IFERROR(VLOOKUP(D85,'[1]back office'!$A$4:$B$6,2,FALSE),"-")</f>
        <v>25</v>
      </c>
      <c r="K85" s="50">
        <f>IFERROR(VLOOKUP(E85,'[1]back office'!$C$4:$D$6,2,FALSE),"-")</f>
        <v>0</v>
      </c>
      <c r="L85" s="50">
        <f>IFERROR(VLOOKUP(F85,'[1]back office'!$E$4:$F$6,2,FALSE),"-")</f>
        <v>15</v>
      </c>
      <c r="M85" s="50">
        <f>IFERROR(VLOOKUP(G85,'[1]back office'!$G$4:$H$6,2,FALSE),"-")</f>
        <v>15</v>
      </c>
      <c r="N85" s="50">
        <f>IFERROR(VLOOKUP(H85,'[1]back office'!$I$4:$J$6,2,FALSE),"-")</f>
        <v>0</v>
      </c>
      <c r="O85" s="50">
        <f>IFERROR(VLOOKUP(I85,'[1]back office'!$K$4:$L$6,2,FALSE),"-")</f>
        <v>35</v>
      </c>
      <c r="P85" s="51">
        <f t="shared" si="67"/>
        <v>90</v>
      </c>
      <c r="Q85" s="49" t="s">
        <v>54</v>
      </c>
      <c r="R85" s="49" t="s">
        <v>57</v>
      </c>
      <c r="S85" s="49" t="s">
        <v>58</v>
      </c>
      <c r="T85" s="50">
        <f>IFERROR(VLOOKUP(Q85,'[1]back office'!$A$11:$B$13,2,FALSE),"-")</f>
        <v>0</v>
      </c>
      <c r="U85" s="50">
        <f>IFERROR(VLOOKUP(R85,'[1]back office'!$C$11:$D$13,2,FALSE),"-")</f>
        <v>0</v>
      </c>
      <c r="V85" s="50" t="str">
        <f>IFERROR(VLOOKUP(S85,'[1]back office'!$E$11:$F$13,2,FALSE),"-")</f>
        <v>-</v>
      </c>
      <c r="W85" s="51">
        <f t="shared" si="68"/>
        <v>0</v>
      </c>
      <c r="X85" s="49" t="s">
        <v>70</v>
      </c>
      <c r="Y85" s="49" t="s">
        <v>84</v>
      </c>
      <c r="Z85" s="49" t="s">
        <v>75</v>
      </c>
      <c r="AA85" s="49" t="s">
        <v>76</v>
      </c>
      <c r="AB85" s="50" t="str">
        <f>IFERROR(VLOOKUP(X85,'[1]back office'!$A$17:$B$19,2,FALSE),"-")</f>
        <v>-</v>
      </c>
      <c r="AC85" s="50">
        <f>IFERROR(VLOOKUP(Y85,'[1]back office'!$C$17:$D$19,2,FALSE),"-")</f>
        <v>5</v>
      </c>
      <c r="AD85" s="50">
        <f>IFERROR(VLOOKUP(Z85,'[1]back office'!$E$17:$F$19,2,FALSE),"-")</f>
        <v>20</v>
      </c>
      <c r="AE85" s="50">
        <f>IFERROR(VLOOKUP(AA85,'[1]back office'!$G$17:$H$19,2,FALSE),"-")</f>
        <v>0</v>
      </c>
      <c r="AF85" s="51">
        <f t="shared" si="69"/>
        <v>25</v>
      </c>
      <c r="AG85" s="49" t="s">
        <v>63</v>
      </c>
      <c r="AH85" s="51">
        <f>IFERROR(VLOOKUP(AG85,'[1]back office'!$A$23:$B$25,2,FALSE),"-")</f>
        <v>0</v>
      </c>
      <c r="AI85" s="49">
        <v>50</v>
      </c>
      <c r="AJ85" s="49">
        <v>15</v>
      </c>
      <c r="AK85" s="49">
        <f t="shared" si="70"/>
        <v>50</v>
      </c>
      <c r="AL85" s="49">
        <v>34</v>
      </c>
      <c r="AM85" s="51">
        <f t="shared" si="71"/>
        <v>84</v>
      </c>
      <c r="AN85" s="49" t="s">
        <v>168</v>
      </c>
      <c r="AO85" s="51" t="str">
        <f>IFERROR(VLOOKUP(AN85,'[1]back office'!$A$36:$B$38,2,FALSE),"-")</f>
        <v>-</v>
      </c>
    </row>
    <row r="86" spans="1:41">
      <c r="A86" s="47" t="s">
        <v>169</v>
      </c>
      <c r="B86" s="50" t="str">
        <f>IF(C86="","",IF(C86&gt;=PQCDSM!$G$4,"AA",IF(AND(C86&gt;=PQCDSM!$G$3,C86&lt;PQCDSM!$G$4),"A",IF(AND(C86&gt;=PQCDSM!$G$2,C86&lt;PQCDSM!$G$3),"B","C"))))</f>
        <v>A</v>
      </c>
      <c r="C86" s="50">
        <f t="shared" si="66"/>
        <v>200</v>
      </c>
      <c r="D86" s="49" t="s">
        <v>50</v>
      </c>
      <c r="E86" s="49" t="s">
        <v>73</v>
      </c>
      <c r="F86" s="49" t="s">
        <v>74</v>
      </c>
      <c r="G86" s="49" t="s">
        <v>53</v>
      </c>
      <c r="H86" s="49" t="s">
        <v>54</v>
      </c>
      <c r="I86" s="49" t="s">
        <v>55</v>
      </c>
      <c r="J86" s="50">
        <f>IFERROR(VLOOKUP(D86,'[1]back office'!$A$4:$B$6,2,FALSE),"-")</f>
        <v>25</v>
      </c>
      <c r="K86" s="50">
        <f>IFERROR(VLOOKUP(E86,'[1]back office'!$C$4:$D$6,2,FALSE),"-")</f>
        <v>0</v>
      </c>
      <c r="L86" s="50">
        <f>IFERROR(VLOOKUP(F86,'[1]back office'!$E$4:$F$6,2,FALSE),"-")</f>
        <v>15</v>
      </c>
      <c r="M86" s="50">
        <f>IFERROR(VLOOKUP(G86,'[1]back office'!$G$4:$H$6,2,FALSE),"-")</f>
        <v>15</v>
      </c>
      <c r="N86" s="50">
        <f>IFERROR(VLOOKUP(H86,'[1]back office'!$I$4:$J$6,2,FALSE),"-")</f>
        <v>0</v>
      </c>
      <c r="O86" s="50">
        <f>IFERROR(VLOOKUP(I86,'[1]back office'!$K$4:$L$6,2,FALSE),"-")</f>
        <v>35</v>
      </c>
      <c r="P86" s="51">
        <f t="shared" si="67"/>
        <v>90</v>
      </c>
      <c r="Q86" s="49" t="s">
        <v>54</v>
      </c>
      <c r="R86" s="49" t="s">
        <v>57</v>
      </c>
      <c r="S86" s="49" t="s">
        <v>58</v>
      </c>
      <c r="T86" s="50">
        <f>IFERROR(VLOOKUP(Q86,'[1]back office'!$A$11:$B$13,2,FALSE),"-")</f>
        <v>0</v>
      </c>
      <c r="U86" s="50">
        <f>IFERROR(VLOOKUP(R86,'[1]back office'!$C$11:$D$13,2,FALSE),"-")</f>
        <v>0</v>
      </c>
      <c r="V86" s="50" t="str">
        <f>IFERROR(VLOOKUP(S86,'[1]back office'!$E$11:$F$13,2,FALSE),"-")</f>
        <v>-</v>
      </c>
      <c r="W86" s="51">
        <f t="shared" si="68"/>
        <v>0</v>
      </c>
      <c r="X86" s="49" t="s">
        <v>70</v>
      </c>
      <c r="Y86" s="49" t="s">
        <v>84</v>
      </c>
      <c r="Z86" s="49" t="s">
        <v>75</v>
      </c>
      <c r="AA86" s="49" t="s">
        <v>76</v>
      </c>
      <c r="AB86" s="50" t="str">
        <f>IFERROR(VLOOKUP(X86,'[1]back office'!$A$17:$B$19,2,FALSE),"-")</f>
        <v>-</v>
      </c>
      <c r="AC86" s="50">
        <f>IFERROR(VLOOKUP(Y86,'[1]back office'!$C$17:$D$19,2,FALSE),"-")</f>
        <v>5</v>
      </c>
      <c r="AD86" s="50">
        <f>IFERROR(VLOOKUP(Z86,'[1]back office'!$E$17:$F$19,2,FALSE),"-")</f>
        <v>20</v>
      </c>
      <c r="AE86" s="50">
        <f>IFERROR(VLOOKUP(AA86,'[1]back office'!$G$17:$H$19,2,FALSE),"-")</f>
        <v>0</v>
      </c>
      <c r="AF86" s="51">
        <f t="shared" si="69"/>
        <v>25</v>
      </c>
      <c r="AG86" s="49" t="s">
        <v>63</v>
      </c>
      <c r="AH86" s="51">
        <f>IFERROR(VLOOKUP(AG86,'[1]back office'!$A$23:$B$25,2,FALSE),"-")</f>
        <v>0</v>
      </c>
      <c r="AI86" s="49">
        <v>50</v>
      </c>
      <c r="AJ86" s="49">
        <v>15</v>
      </c>
      <c r="AK86" s="49">
        <f t="shared" si="70"/>
        <v>50</v>
      </c>
      <c r="AL86" s="49">
        <v>35</v>
      </c>
      <c r="AM86" s="51">
        <f t="shared" si="71"/>
        <v>85</v>
      </c>
      <c r="AN86" s="49" t="s">
        <v>170</v>
      </c>
      <c r="AO86" s="51" t="str">
        <f>IFERROR(VLOOKUP(AN86,'[1]back office'!$A$36:$B$38,2,FALSE),"-")</f>
        <v>-</v>
      </c>
    </row>
    <row r="87" spans="1:41">
      <c r="A87" s="47" t="s">
        <v>171</v>
      </c>
      <c r="B87" s="50" t="str">
        <f>IF(C87="","",IF(C87&gt;=PQCDSM!$G$4,"AA",IF(AND(C87&gt;=PQCDSM!$G$3,C87&lt;PQCDSM!$G$4),"A",IF(AND(C87&gt;=PQCDSM!$G$2,C87&lt;PQCDSM!$G$3),"B","C"))))</f>
        <v>A</v>
      </c>
      <c r="C87" s="50">
        <f t="shared" si="66"/>
        <v>201</v>
      </c>
      <c r="D87" s="49" t="s">
        <v>50</v>
      </c>
      <c r="E87" s="49" t="s">
        <v>73</v>
      </c>
      <c r="F87" s="49" t="s">
        <v>74</v>
      </c>
      <c r="G87" s="49" t="s">
        <v>53</v>
      </c>
      <c r="H87" s="49" t="s">
        <v>54</v>
      </c>
      <c r="I87" s="49" t="s">
        <v>55</v>
      </c>
      <c r="J87" s="50">
        <f>IFERROR(VLOOKUP(D87,'[1]back office'!$A$4:$B$6,2,FALSE),"-")</f>
        <v>25</v>
      </c>
      <c r="K87" s="50">
        <f>IFERROR(VLOOKUP(E87,'[1]back office'!$C$4:$D$6,2,FALSE),"-")</f>
        <v>0</v>
      </c>
      <c r="L87" s="50">
        <f>IFERROR(VLOOKUP(F87,'[1]back office'!$E$4:$F$6,2,FALSE),"-")</f>
        <v>15</v>
      </c>
      <c r="M87" s="50">
        <f>IFERROR(VLOOKUP(G87,'[1]back office'!$G$4:$H$6,2,FALSE),"-")</f>
        <v>15</v>
      </c>
      <c r="N87" s="50">
        <f>IFERROR(VLOOKUP(H87,'[1]back office'!$I$4:$J$6,2,FALSE),"-")</f>
        <v>0</v>
      </c>
      <c r="O87" s="50">
        <f>IFERROR(VLOOKUP(I87,'[1]back office'!$K$4:$L$6,2,FALSE),"-")</f>
        <v>35</v>
      </c>
      <c r="P87" s="51">
        <f t="shared" si="67"/>
        <v>90</v>
      </c>
      <c r="Q87" s="49" t="s">
        <v>54</v>
      </c>
      <c r="R87" s="49" t="s">
        <v>57</v>
      </c>
      <c r="S87" s="49" t="s">
        <v>58</v>
      </c>
      <c r="T87" s="50">
        <f>IFERROR(VLOOKUP(Q87,'[1]back office'!$A$11:$B$13,2,FALSE),"-")</f>
        <v>0</v>
      </c>
      <c r="U87" s="50">
        <f>IFERROR(VLOOKUP(R87,'[1]back office'!$C$11:$D$13,2,FALSE),"-")</f>
        <v>0</v>
      </c>
      <c r="V87" s="50" t="str">
        <f>IFERROR(VLOOKUP(S87,'[1]back office'!$E$11:$F$13,2,FALSE),"-")</f>
        <v>-</v>
      </c>
      <c r="W87" s="51">
        <f t="shared" si="68"/>
        <v>0</v>
      </c>
      <c r="X87" s="49" t="s">
        <v>70</v>
      </c>
      <c r="Y87" s="49" t="s">
        <v>84</v>
      </c>
      <c r="Z87" s="49" t="s">
        <v>75</v>
      </c>
      <c r="AA87" s="49" t="s">
        <v>76</v>
      </c>
      <c r="AB87" s="50" t="str">
        <f>IFERROR(VLOOKUP(X87,'[1]back office'!$A$17:$B$19,2,FALSE),"-")</f>
        <v>-</v>
      </c>
      <c r="AC87" s="50">
        <f>IFERROR(VLOOKUP(Y87,'[1]back office'!$C$17:$D$19,2,FALSE),"-")</f>
        <v>5</v>
      </c>
      <c r="AD87" s="50">
        <f>IFERROR(VLOOKUP(Z87,'[1]back office'!$E$17:$F$19,2,FALSE),"-")</f>
        <v>20</v>
      </c>
      <c r="AE87" s="50">
        <f>IFERROR(VLOOKUP(AA87,'[1]back office'!$G$17:$H$19,2,FALSE),"-")</f>
        <v>0</v>
      </c>
      <c r="AF87" s="51">
        <f t="shared" si="69"/>
        <v>25</v>
      </c>
      <c r="AG87" s="49" t="s">
        <v>63</v>
      </c>
      <c r="AH87" s="51">
        <f>IFERROR(VLOOKUP(AG87,'[1]back office'!$A$23:$B$25,2,FALSE),"-")</f>
        <v>0</v>
      </c>
      <c r="AI87" s="49">
        <v>50</v>
      </c>
      <c r="AJ87" s="49">
        <v>15</v>
      </c>
      <c r="AK87" s="49">
        <f t="shared" si="70"/>
        <v>50</v>
      </c>
      <c r="AL87" s="49">
        <v>36</v>
      </c>
      <c r="AM87" s="51">
        <f t="shared" si="71"/>
        <v>86</v>
      </c>
      <c r="AN87" s="49" t="s">
        <v>172</v>
      </c>
      <c r="AO87" s="51" t="str">
        <f>IFERROR(VLOOKUP(AN87,'[1]back office'!$A$36:$B$38,2,FALSE),"-")</f>
        <v>-</v>
      </c>
    </row>
    <row r="88" spans="1:41">
      <c r="A88" s="47" t="s">
        <v>173</v>
      </c>
      <c r="B88" s="50" t="str">
        <f>IF(C88="","",IF(C88&gt;=PQCDSM!$G$4,"AA",IF(AND(C88&gt;=PQCDSM!$G$3,C88&lt;PQCDSM!$G$4),"A",IF(AND(C88&gt;=PQCDSM!$G$2,C88&lt;PQCDSM!$G$3),"B","C"))))</f>
        <v>A</v>
      </c>
      <c r="C88" s="50">
        <f t="shared" si="66"/>
        <v>202</v>
      </c>
      <c r="D88" s="49" t="s">
        <v>50</v>
      </c>
      <c r="E88" s="49" t="s">
        <v>73</v>
      </c>
      <c r="F88" s="49" t="s">
        <v>74</v>
      </c>
      <c r="G88" s="49" t="s">
        <v>53</v>
      </c>
      <c r="H88" s="49" t="s">
        <v>54</v>
      </c>
      <c r="I88" s="49" t="s">
        <v>55</v>
      </c>
      <c r="J88" s="50">
        <f>IFERROR(VLOOKUP(D88,'[1]back office'!$A$4:$B$6,2,FALSE),"-")</f>
        <v>25</v>
      </c>
      <c r="K88" s="50">
        <f>IFERROR(VLOOKUP(E88,'[1]back office'!$C$4:$D$6,2,FALSE),"-")</f>
        <v>0</v>
      </c>
      <c r="L88" s="50">
        <f>IFERROR(VLOOKUP(F88,'[1]back office'!$E$4:$F$6,2,FALSE),"-")</f>
        <v>15</v>
      </c>
      <c r="M88" s="50">
        <f>IFERROR(VLOOKUP(G88,'[1]back office'!$G$4:$H$6,2,FALSE),"-")</f>
        <v>15</v>
      </c>
      <c r="N88" s="50">
        <f>IFERROR(VLOOKUP(H88,'[1]back office'!$I$4:$J$6,2,FALSE),"-")</f>
        <v>0</v>
      </c>
      <c r="O88" s="50">
        <f>IFERROR(VLOOKUP(I88,'[1]back office'!$K$4:$L$6,2,FALSE),"-")</f>
        <v>35</v>
      </c>
      <c r="P88" s="51">
        <f t="shared" si="67"/>
        <v>90</v>
      </c>
      <c r="Q88" s="49" t="s">
        <v>54</v>
      </c>
      <c r="R88" s="49" t="s">
        <v>57</v>
      </c>
      <c r="S88" s="49" t="s">
        <v>58</v>
      </c>
      <c r="T88" s="50">
        <f>IFERROR(VLOOKUP(Q88,'[1]back office'!$A$11:$B$13,2,FALSE),"-")</f>
        <v>0</v>
      </c>
      <c r="U88" s="50">
        <f>IFERROR(VLOOKUP(R88,'[1]back office'!$C$11:$D$13,2,FALSE),"-")</f>
        <v>0</v>
      </c>
      <c r="V88" s="50" t="str">
        <f>IFERROR(VLOOKUP(S88,'[1]back office'!$E$11:$F$13,2,FALSE),"-")</f>
        <v>-</v>
      </c>
      <c r="W88" s="51">
        <f t="shared" si="68"/>
        <v>0</v>
      </c>
      <c r="X88" s="49" t="s">
        <v>70</v>
      </c>
      <c r="Y88" s="49" t="s">
        <v>84</v>
      </c>
      <c r="Z88" s="49" t="s">
        <v>75</v>
      </c>
      <c r="AA88" s="49" t="s">
        <v>76</v>
      </c>
      <c r="AB88" s="50" t="str">
        <f>IFERROR(VLOOKUP(X88,'[1]back office'!$A$17:$B$19,2,FALSE),"-")</f>
        <v>-</v>
      </c>
      <c r="AC88" s="50">
        <f>IFERROR(VLOOKUP(Y88,'[1]back office'!$C$17:$D$19,2,FALSE),"-")</f>
        <v>5</v>
      </c>
      <c r="AD88" s="50">
        <f>IFERROR(VLOOKUP(Z88,'[1]back office'!$E$17:$F$19,2,FALSE),"-")</f>
        <v>20</v>
      </c>
      <c r="AE88" s="50">
        <f>IFERROR(VLOOKUP(AA88,'[1]back office'!$G$17:$H$19,2,FALSE),"-")</f>
        <v>0</v>
      </c>
      <c r="AF88" s="51">
        <f t="shared" si="69"/>
        <v>25</v>
      </c>
      <c r="AG88" s="49" t="s">
        <v>63</v>
      </c>
      <c r="AH88" s="51">
        <f>IFERROR(VLOOKUP(AG88,'[1]back office'!$A$23:$B$25,2,FALSE),"-")</f>
        <v>0</v>
      </c>
      <c r="AI88" s="49">
        <v>50</v>
      </c>
      <c r="AJ88" s="49">
        <v>15</v>
      </c>
      <c r="AK88" s="49">
        <f t="shared" si="70"/>
        <v>50</v>
      </c>
      <c r="AL88" s="49">
        <v>37</v>
      </c>
      <c r="AM88" s="51">
        <f t="shared" si="71"/>
        <v>87</v>
      </c>
      <c r="AN88" s="49" t="s">
        <v>174</v>
      </c>
      <c r="AO88" s="51" t="str">
        <f>IFERROR(VLOOKUP(AN88,'[1]back office'!$A$36:$B$38,2,FALSE),"-")</f>
        <v>-</v>
      </c>
    </row>
    <row r="89" spans="1:41">
      <c r="A89" s="47" t="s">
        <v>175</v>
      </c>
      <c r="B89" s="50" t="str">
        <f>IF(C89="","",IF(C89&gt;=PQCDSM!$G$4,"AA",IF(AND(C89&gt;=PQCDSM!$G$3,C89&lt;PQCDSM!$G$4),"A",IF(AND(C89&gt;=PQCDSM!$G$2,C89&lt;PQCDSM!$G$3),"B","C"))))</f>
        <v>A</v>
      </c>
      <c r="C89" s="50">
        <f t="shared" si="66"/>
        <v>203</v>
      </c>
      <c r="D89" s="49" t="s">
        <v>50</v>
      </c>
      <c r="E89" s="49" t="s">
        <v>73</v>
      </c>
      <c r="F89" s="49" t="s">
        <v>74</v>
      </c>
      <c r="G89" s="49" t="s">
        <v>53</v>
      </c>
      <c r="H89" s="49" t="s">
        <v>54</v>
      </c>
      <c r="I89" s="49" t="s">
        <v>55</v>
      </c>
      <c r="J89" s="50">
        <f>IFERROR(VLOOKUP(D89,'[1]back office'!$A$4:$B$6,2,FALSE),"-")</f>
        <v>25</v>
      </c>
      <c r="K89" s="50">
        <f>IFERROR(VLOOKUP(E89,'[1]back office'!$C$4:$D$6,2,FALSE),"-")</f>
        <v>0</v>
      </c>
      <c r="L89" s="50">
        <f>IFERROR(VLOOKUP(F89,'[1]back office'!$E$4:$F$6,2,FALSE),"-")</f>
        <v>15</v>
      </c>
      <c r="M89" s="50">
        <f>IFERROR(VLOOKUP(G89,'[1]back office'!$G$4:$H$6,2,FALSE),"-")</f>
        <v>15</v>
      </c>
      <c r="N89" s="50">
        <f>IFERROR(VLOOKUP(H89,'[1]back office'!$I$4:$J$6,2,FALSE),"-")</f>
        <v>0</v>
      </c>
      <c r="O89" s="50">
        <f>IFERROR(VLOOKUP(I89,'[1]back office'!$K$4:$L$6,2,FALSE),"-")</f>
        <v>35</v>
      </c>
      <c r="P89" s="51">
        <f t="shared" si="67"/>
        <v>90</v>
      </c>
      <c r="Q89" s="49" t="s">
        <v>54</v>
      </c>
      <c r="R89" s="49" t="s">
        <v>57</v>
      </c>
      <c r="S89" s="49" t="s">
        <v>58</v>
      </c>
      <c r="T89" s="50">
        <f>IFERROR(VLOOKUP(Q89,'[1]back office'!$A$11:$B$13,2,FALSE),"-")</f>
        <v>0</v>
      </c>
      <c r="U89" s="50">
        <f>IFERROR(VLOOKUP(R89,'[1]back office'!$C$11:$D$13,2,FALSE),"-")</f>
        <v>0</v>
      </c>
      <c r="V89" s="50" t="str">
        <f>IFERROR(VLOOKUP(S89,'[1]back office'!$E$11:$F$13,2,FALSE),"-")</f>
        <v>-</v>
      </c>
      <c r="W89" s="51">
        <f t="shared" si="68"/>
        <v>0</v>
      </c>
      <c r="X89" s="49" t="s">
        <v>70</v>
      </c>
      <c r="Y89" s="49" t="s">
        <v>84</v>
      </c>
      <c r="Z89" s="49" t="s">
        <v>75</v>
      </c>
      <c r="AA89" s="49" t="s">
        <v>76</v>
      </c>
      <c r="AB89" s="50" t="str">
        <f>IFERROR(VLOOKUP(X89,'[1]back office'!$A$17:$B$19,2,FALSE),"-")</f>
        <v>-</v>
      </c>
      <c r="AC89" s="50">
        <f>IFERROR(VLOOKUP(Y89,'[1]back office'!$C$17:$D$19,2,FALSE),"-")</f>
        <v>5</v>
      </c>
      <c r="AD89" s="50">
        <f>IFERROR(VLOOKUP(Z89,'[1]back office'!$E$17:$F$19,2,FALSE),"-")</f>
        <v>20</v>
      </c>
      <c r="AE89" s="50">
        <f>IFERROR(VLOOKUP(AA89,'[1]back office'!$G$17:$H$19,2,FALSE),"-")</f>
        <v>0</v>
      </c>
      <c r="AF89" s="51">
        <f t="shared" si="69"/>
        <v>25</v>
      </c>
      <c r="AG89" s="49" t="s">
        <v>63</v>
      </c>
      <c r="AH89" s="51">
        <f>IFERROR(VLOOKUP(AG89,'[1]back office'!$A$23:$B$25,2,FALSE),"-")</f>
        <v>0</v>
      </c>
      <c r="AI89" s="49">
        <v>50</v>
      </c>
      <c r="AJ89" s="49">
        <v>15</v>
      </c>
      <c r="AK89" s="49">
        <f t="shared" si="70"/>
        <v>50</v>
      </c>
      <c r="AL89" s="49">
        <v>38</v>
      </c>
      <c r="AM89" s="51">
        <f t="shared" si="71"/>
        <v>88</v>
      </c>
      <c r="AN89" s="49" t="s">
        <v>176</v>
      </c>
      <c r="AO89" s="51" t="str">
        <f>IFERROR(VLOOKUP(AN89,'[1]back office'!$A$36:$B$38,2,FALSE),"-")</f>
        <v>-</v>
      </c>
    </row>
    <row r="90" spans="1:41">
      <c r="A90" s="47" t="s">
        <v>177</v>
      </c>
      <c r="B90" s="50" t="str">
        <f>IF(C90="","",IF(C90&gt;=PQCDSM!$G$4,"AA",IF(AND(C90&gt;=PQCDSM!$G$3,C90&lt;PQCDSM!$G$4),"A",IF(AND(C90&gt;=PQCDSM!$G$2,C90&lt;PQCDSM!$G$3),"B","C"))))</f>
        <v>A</v>
      </c>
      <c r="C90" s="50">
        <f t="shared" si="66"/>
        <v>204</v>
      </c>
      <c r="D90" s="49" t="s">
        <v>50</v>
      </c>
      <c r="E90" s="49" t="s">
        <v>73</v>
      </c>
      <c r="F90" s="49" t="s">
        <v>74</v>
      </c>
      <c r="G90" s="49" t="s">
        <v>53</v>
      </c>
      <c r="H90" s="49" t="s">
        <v>54</v>
      </c>
      <c r="I90" s="49" t="s">
        <v>55</v>
      </c>
      <c r="J90" s="50">
        <f>IFERROR(VLOOKUP(D90,'[1]back office'!$A$4:$B$6,2,FALSE),"-")</f>
        <v>25</v>
      </c>
      <c r="K90" s="50">
        <f>IFERROR(VLOOKUP(E90,'[1]back office'!$C$4:$D$6,2,FALSE),"-")</f>
        <v>0</v>
      </c>
      <c r="L90" s="50">
        <f>IFERROR(VLOOKUP(F90,'[1]back office'!$E$4:$F$6,2,FALSE),"-")</f>
        <v>15</v>
      </c>
      <c r="M90" s="50">
        <f>IFERROR(VLOOKUP(G90,'[1]back office'!$G$4:$H$6,2,FALSE),"-")</f>
        <v>15</v>
      </c>
      <c r="N90" s="50">
        <f>IFERROR(VLOOKUP(H90,'[1]back office'!$I$4:$J$6,2,FALSE),"-")</f>
        <v>0</v>
      </c>
      <c r="O90" s="50">
        <f>IFERROR(VLOOKUP(I90,'[1]back office'!$K$4:$L$6,2,FALSE),"-")</f>
        <v>35</v>
      </c>
      <c r="P90" s="51">
        <f t="shared" si="67"/>
        <v>90</v>
      </c>
      <c r="Q90" s="49" t="s">
        <v>54</v>
      </c>
      <c r="R90" s="49" t="s">
        <v>57</v>
      </c>
      <c r="S90" s="49" t="s">
        <v>58</v>
      </c>
      <c r="T90" s="50">
        <f>IFERROR(VLOOKUP(Q90,'[1]back office'!$A$11:$B$13,2,FALSE),"-")</f>
        <v>0</v>
      </c>
      <c r="U90" s="50">
        <f>IFERROR(VLOOKUP(R90,'[1]back office'!$C$11:$D$13,2,FALSE),"-")</f>
        <v>0</v>
      </c>
      <c r="V90" s="50" t="str">
        <f>IFERROR(VLOOKUP(S90,'[1]back office'!$E$11:$F$13,2,FALSE),"-")</f>
        <v>-</v>
      </c>
      <c r="W90" s="51">
        <f t="shared" si="68"/>
        <v>0</v>
      </c>
      <c r="X90" s="49" t="s">
        <v>70</v>
      </c>
      <c r="Y90" s="49" t="s">
        <v>84</v>
      </c>
      <c r="Z90" s="49" t="s">
        <v>75</v>
      </c>
      <c r="AA90" s="49" t="s">
        <v>76</v>
      </c>
      <c r="AB90" s="50" t="str">
        <f>IFERROR(VLOOKUP(X90,'[1]back office'!$A$17:$B$19,2,FALSE),"-")</f>
        <v>-</v>
      </c>
      <c r="AC90" s="50">
        <f>IFERROR(VLOOKUP(Y90,'[1]back office'!$C$17:$D$19,2,FALSE),"-")</f>
        <v>5</v>
      </c>
      <c r="AD90" s="50">
        <f>IFERROR(VLOOKUP(Z90,'[1]back office'!$E$17:$F$19,2,FALSE),"-")</f>
        <v>20</v>
      </c>
      <c r="AE90" s="50">
        <f>IFERROR(VLOOKUP(AA90,'[1]back office'!$G$17:$H$19,2,FALSE),"-")</f>
        <v>0</v>
      </c>
      <c r="AF90" s="51">
        <f t="shared" si="69"/>
        <v>25</v>
      </c>
      <c r="AG90" s="49" t="s">
        <v>63</v>
      </c>
      <c r="AH90" s="51">
        <f>IFERROR(VLOOKUP(AG90,'[1]back office'!$A$23:$B$25,2,FALSE),"-")</f>
        <v>0</v>
      </c>
      <c r="AI90" s="49">
        <v>50</v>
      </c>
      <c r="AJ90" s="49">
        <v>15</v>
      </c>
      <c r="AK90" s="49">
        <f t="shared" si="70"/>
        <v>50</v>
      </c>
      <c r="AL90" s="49">
        <v>39</v>
      </c>
      <c r="AM90" s="51">
        <f t="shared" si="71"/>
        <v>89</v>
      </c>
      <c r="AN90" s="49" t="s">
        <v>178</v>
      </c>
      <c r="AO90" s="51" t="str">
        <f>IFERROR(VLOOKUP(AN90,'[1]back office'!$A$36:$B$38,2,FALSE),"-")</f>
        <v>-</v>
      </c>
    </row>
    <row r="91" spans="1:41">
      <c r="A91" s="47" t="s">
        <v>179</v>
      </c>
      <c r="B91" s="50" t="str">
        <f>IF(C91="","",IF(C91&gt;=PQCDSM!$G$4,"AA",IF(AND(C91&gt;=PQCDSM!$G$3,C91&lt;PQCDSM!$G$4),"A",IF(AND(C91&gt;=PQCDSM!$G$2,C91&lt;PQCDSM!$G$3),"B","C"))))</f>
        <v>A</v>
      </c>
      <c r="C91" s="50">
        <f t="shared" si="66"/>
        <v>205</v>
      </c>
      <c r="D91" s="49" t="s">
        <v>50</v>
      </c>
      <c r="E91" s="49" t="s">
        <v>73</v>
      </c>
      <c r="F91" s="49" t="s">
        <v>74</v>
      </c>
      <c r="G91" s="49" t="s">
        <v>53</v>
      </c>
      <c r="H91" s="49" t="s">
        <v>54</v>
      </c>
      <c r="I91" s="49" t="s">
        <v>55</v>
      </c>
      <c r="J91" s="50">
        <f>IFERROR(VLOOKUP(D91,'[1]back office'!$A$4:$B$6,2,FALSE),"-")</f>
        <v>25</v>
      </c>
      <c r="K91" s="50">
        <f>IFERROR(VLOOKUP(E91,'[1]back office'!$C$4:$D$6,2,FALSE),"-")</f>
        <v>0</v>
      </c>
      <c r="L91" s="50">
        <f>IFERROR(VLOOKUP(F91,'[1]back office'!$E$4:$F$6,2,FALSE),"-")</f>
        <v>15</v>
      </c>
      <c r="M91" s="50">
        <f>IFERROR(VLOOKUP(G91,'[1]back office'!$G$4:$H$6,2,FALSE),"-")</f>
        <v>15</v>
      </c>
      <c r="N91" s="50">
        <f>IFERROR(VLOOKUP(H91,'[1]back office'!$I$4:$J$6,2,FALSE),"-")</f>
        <v>0</v>
      </c>
      <c r="O91" s="50">
        <f>IFERROR(VLOOKUP(I91,'[1]back office'!$K$4:$L$6,2,FALSE),"-")</f>
        <v>35</v>
      </c>
      <c r="P91" s="51">
        <f t="shared" si="67"/>
        <v>90</v>
      </c>
      <c r="Q91" s="49" t="s">
        <v>54</v>
      </c>
      <c r="R91" s="49" t="s">
        <v>57</v>
      </c>
      <c r="S91" s="49" t="s">
        <v>58</v>
      </c>
      <c r="T91" s="50">
        <f>IFERROR(VLOOKUP(Q91,'[1]back office'!$A$11:$B$13,2,FALSE),"-")</f>
        <v>0</v>
      </c>
      <c r="U91" s="50">
        <f>IFERROR(VLOOKUP(R91,'[1]back office'!$C$11:$D$13,2,FALSE),"-")</f>
        <v>0</v>
      </c>
      <c r="V91" s="50" t="str">
        <f>IFERROR(VLOOKUP(S91,'[1]back office'!$E$11:$F$13,2,FALSE),"-")</f>
        <v>-</v>
      </c>
      <c r="W91" s="51">
        <f t="shared" si="68"/>
        <v>0</v>
      </c>
      <c r="X91" s="49" t="s">
        <v>70</v>
      </c>
      <c r="Y91" s="49" t="s">
        <v>84</v>
      </c>
      <c r="Z91" s="49" t="s">
        <v>75</v>
      </c>
      <c r="AA91" s="49" t="s">
        <v>76</v>
      </c>
      <c r="AB91" s="50" t="str">
        <f>IFERROR(VLOOKUP(X91,'[1]back office'!$A$17:$B$19,2,FALSE),"-")</f>
        <v>-</v>
      </c>
      <c r="AC91" s="50">
        <f>IFERROR(VLOOKUP(Y91,'[1]back office'!$C$17:$D$19,2,FALSE),"-")</f>
        <v>5</v>
      </c>
      <c r="AD91" s="50">
        <f>IFERROR(VLOOKUP(Z91,'[1]back office'!$E$17:$F$19,2,FALSE),"-")</f>
        <v>20</v>
      </c>
      <c r="AE91" s="50">
        <f>IFERROR(VLOOKUP(AA91,'[1]back office'!$G$17:$H$19,2,FALSE),"-")</f>
        <v>0</v>
      </c>
      <c r="AF91" s="51">
        <f t="shared" si="69"/>
        <v>25</v>
      </c>
      <c r="AG91" s="49" t="s">
        <v>63</v>
      </c>
      <c r="AH91" s="51">
        <f>IFERROR(VLOOKUP(AG91,'[1]back office'!$A$23:$B$25,2,FALSE),"-")</f>
        <v>0</v>
      </c>
      <c r="AI91" s="49">
        <v>50</v>
      </c>
      <c r="AJ91" s="49">
        <v>15</v>
      </c>
      <c r="AK91" s="49">
        <f t="shared" si="70"/>
        <v>50</v>
      </c>
      <c r="AL91" s="49">
        <v>40</v>
      </c>
      <c r="AM91" s="51">
        <f t="shared" si="71"/>
        <v>90</v>
      </c>
      <c r="AN91" s="49" t="s">
        <v>180</v>
      </c>
      <c r="AO91" s="51" t="str">
        <f>IFERROR(VLOOKUP(AN91,'[1]back office'!$A$36:$B$38,2,FALSE),"-")</f>
        <v>-</v>
      </c>
    </row>
    <row r="92" spans="1:41">
      <c r="A92" s="47" t="s">
        <v>181</v>
      </c>
      <c r="B92" s="50" t="str">
        <f>IF(C92="","",IF(C92&gt;=PQCDSM!$G$4,"AA",IF(AND(C92&gt;=PQCDSM!$G$3,C92&lt;PQCDSM!$G$4),"A",IF(AND(C92&gt;=PQCDSM!$G$2,C92&lt;PQCDSM!$G$3),"B","C"))))</f>
        <v>A</v>
      </c>
      <c r="C92" s="50">
        <f t="shared" si="66"/>
        <v>206</v>
      </c>
      <c r="D92" s="49" t="s">
        <v>50</v>
      </c>
      <c r="E92" s="49" t="s">
        <v>73</v>
      </c>
      <c r="F92" s="49" t="s">
        <v>74</v>
      </c>
      <c r="G92" s="49" t="s">
        <v>53</v>
      </c>
      <c r="H92" s="49" t="s">
        <v>54</v>
      </c>
      <c r="I92" s="49" t="s">
        <v>55</v>
      </c>
      <c r="J92" s="50">
        <f>IFERROR(VLOOKUP(D92,'[1]back office'!$A$4:$B$6,2,FALSE),"-")</f>
        <v>25</v>
      </c>
      <c r="K92" s="50">
        <f>IFERROR(VLOOKUP(E92,'[1]back office'!$C$4:$D$6,2,FALSE),"-")</f>
        <v>0</v>
      </c>
      <c r="L92" s="50">
        <f>IFERROR(VLOOKUP(F92,'[1]back office'!$E$4:$F$6,2,FALSE),"-")</f>
        <v>15</v>
      </c>
      <c r="M92" s="50">
        <f>IFERROR(VLOOKUP(G92,'[1]back office'!$G$4:$H$6,2,FALSE),"-")</f>
        <v>15</v>
      </c>
      <c r="N92" s="50">
        <f>IFERROR(VLOOKUP(H92,'[1]back office'!$I$4:$J$6,2,FALSE),"-")</f>
        <v>0</v>
      </c>
      <c r="O92" s="50">
        <f>IFERROR(VLOOKUP(I92,'[1]back office'!$K$4:$L$6,2,FALSE),"-")</f>
        <v>35</v>
      </c>
      <c r="P92" s="51">
        <f t="shared" si="67"/>
        <v>90</v>
      </c>
      <c r="Q92" s="49" t="s">
        <v>54</v>
      </c>
      <c r="R92" s="49" t="s">
        <v>57</v>
      </c>
      <c r="S92" s="49" t="s">
        <v>58</v>
      </c>
      <c r="T92" s="50">
        <f>IFERROR(VLOOKUP(Q92,'[1]back office'!$A$11:$B$13,2,FALSE),"-")</f>
        <v>0</v>
      </c>
      <c r="U92" s="50">
        <f>IFERROR(VLOOKUP(R92,'[1]back office'!$C$11:$D$13,2,FALSE),"-")</f>
        <v>0</v>
      </c>
      <c r="V92" s="50" t="str">
        <f>IFERROR(VLOOKUP(S92,'[1]back office'!$E$11:$F$13,2,FALSE),"-")</f>
        <v>-</v>
      </c>
      <c r="W92" s="51">
        <f t="shared" si="68"/>
        <v>0</v>
      </c>
      <c r="X92" s="49" t="s">
        <v>70</v>
      </c>
      <c r="Y92" s="49" t="s">
        <v>84</v>
      </c>
      <c r="Z92" s="49" t="s">
        <v>75</v>
      </c>
      <c r="AA92" s="49" t="s">
        <v>76</v>
      </c>
      <c r="AB92" s="50" t="str">
        <f>IFERROR(VLOOKUP(X92,'[1]back office'!$A$17:$B$19,2,FALSE),"-")</f>
        <v>-</v>
      </c>
      <c r="AC92" s="50">
        <f>IFERROR(VLOOKUP(Y92,'[1]back office'!$C$17:$D$19,2,FALSE),"-")</f>
        <v>5</v>
      </c>
      <c r="AD92" s="50">
        <f>IFERROR(VLOOKUP(Z92,'[1]back office'!$E$17:$F$19,2,FALSE),"-")</f>
        <v>20</v>
      </c>
      <c r="AE92" s="50">
        <f>IFERROR(VLOOKUP(AA92,'[1]back office'!$G$17:$H$19,2,FALSE),"-")</f>
        <v>0</v>
      </c>
      <c r="AF92" s="51">
        <f t="shared" si="69"/>
        <v>25</v>
      </c>
      <c r="AG92" s="49" t="s">
        <v>63</v>
      </c>
      <c r="AH92" s="51">
        <f>IFERROR(VLOOKUP(AG92,'[1]back office'!$A$23:$B$25,2,FALSE),"-")</f>
        <v>0</v>
      </c>
      <c r="AI92" s="49">
        <v>50</v>
      </c>
      <c r="AJ92" s="49">
        <v>15</v>
      </c>
      <c r="AK92" s="49">
        <f t="shared" si="70"/>
        <v>50</v>
      </c>
      <c r="AL92" s="49">
        <v>41</v>
      </c>
      <c r="AM92" s="51">
        <f t="shared" si="71"/>
        <v>91</v>
      </c>
      <c r="AN92" s="49" t="s">
        <v>182</v>
      </c>
      <c r="AO92" s="51" t="str">
        <f>IFERROR(VLOOKUP(AN92,'[1]back office'!$A$36:$B$38,2,FALSE),"-")</f>
        <v>-</v>
      </c>
    </row>
    <row r="93" spans="1:41">
      <c r="A93" s="47" t="s">
        <v>183</v>
      </c>
      <c r="B93" s="50" t="str">
        <f>IF(C93="","",IF(C93&gt;=PQCDSM!$G$4,"AA",IF(AND(C93&gt;=PQCDSM!$G$3,C93&lt;PQCDSM!$G$4),"A",IF(AND(C93&gt;=PQCDSM!$G$2,C93&lt;PQCDSM!$G$3),"B","C"))))</f>
        <v>A</v>
      </c>
      <c r="C93" s="50">
        <f t="shared" si="66"/>
        <v>207</v>
      </c>
      <c r="D93" s="49" t="s">
        <v>50</v>
      </c>
      <c r="E93" s="49" t="s">
        <v>73</v>
      </c>
      <c r="F93" s="49" t="s">
        <v>74</v>
      </c>
      <c r="G93" s="49" t="s">
        <v>53</v>
      </c>
      <c r="H93" s="49" t="s">
        <v>54</v>
      </c>
      <c r="I93" s="49" t="s">
        <v>55</v>
      </c>
      <c r="J93" s="50">
        <f>IFERROR(VLOOKUP(D93,'[1]back office'!$A$4:$B$6,2,FALSE),"-")</f>
        <v>25</v>
      </c>
      <c r="K93" s="50">
        <f>IFERROR(VLOOKUP(E93,'[1]back office'!$C$4:$D$6,2,FALSE),"-")</f>
        <v>0</v>
      </c>
      <c r="L93" s="50">
        <f>IFERROR(VLOOKUP(F93,'[1]back office'!$E$4:$F$6,2,FALSE),"-")</f>
        <v>15</v>
      </c>
      <c r="M93" s="50">
        <f>IFERROR(VLOOKUP(G93,'[1]back office'!$G$4:$H$6,2,FALSE),"-")</f>
        <v>15</v>
      </c>
      <c r="N93" s="50">
        <f>IFERROR(VLOOKUP(H93,'[1]back office'!$I$4:$J$6,2,FALSE),"-")</f>
        <v>0</v>
      </c>
      <c r="O93" s="50">
        <f>IFERROR(VLOOKUP(I93,'[1]back office'!$K$4:$L$6,2,FALSE),"-")</f>
        <v>35</v>
      </c>
      <c r="P93" s="51">
        <f t="shared" si="67"/>
        <v>90</v>
      </c>
      <c r="Q93" s="49" t="s">
        <v>54</v>
      </c>
      <c r="R93" s="49" t="s">
        <v>57</v>
      </c>
      <c r="S93" s="49" t="s">
        <v>58</v>
      </c>
      <c r="T93" s="50">
        <f>IFERROR(VLOOKUP(Q93,'[1]back office'!$A$11:$B$13,2,FALSE),"-")</f>
        <v>0</v>
      </c>
      <c r="U93" s="50">
        <f>IFERROR(VLOOKUP(R93,'[1]back office'!$C$11:$D$13,2,FALSE),"-")</f>
        <v>0</v>
      </c>
      <c r="V93" s="50" t="str">
        <f>IFERROR(VLOOKUP(S93,'[1]back office'!$E$11:$F$13,2,FALSE),"-")</f>
        <v>-</v>
      </c>
      <c r="W93" s="51">
        <f t="shared" si="68"/>
        <v>0</v>
      </c>
      <c r="X93" s="49" t="s">
        <v>70</v>
      </c>
      <c r="Y93" s="49" t="s">
        <v>84</v>
      </c>
      <c r="Z93" s="49" t="s">
        <v>75</v>
      </c>
      <c r="AA93" s="49" t="s">
        <v>76</v>
      </c>
      <c r="AB93" s="50" t="str">
        <f>IFERROR(VLOOKUP(X93,'[1]back office'!$A$17:$B$19,2,FALSE),"-")</f>
        <v>-</v>
      </c>
      <c r="AC93" s="50">
        <f>IFERROR(VLOOKUP(Y93,'[1]back office'!$C$17:$D$19,2,FALSE),"-")</f>
        <v>5</v>
      </c>
      <c r="AD93" s="50">
        <f>IFERROR(VLOOKUP(Z93,'[1]back office'!$E$17:$F$19,2,FALSE),"-")</f>
        <v>20</v>
      </c>
      <c r="AE93" s="50">
        <f>IFERROR(VLOOKUP(AA93,'[1]back office'!$G$17:$H$19,2,FALSE),"-")</f>
        <v>0</v>
      </c>
      <c r="AF93" s="51">
        <f t="shared" si="69"/>
        <v>25</v>
      </c>
      <c r="AG93" s="49" t="s">
        <v>63</v>
      </c>
      <c r="AH93" s="51">
        <f>IFERROR(VLOOKUP(AG93,'[1]back office'!$A$23:$B$25,2,FALSE),"-")</f>
        <v>0</v>
      </c>
      <c r="AI93" s="49">
        <v>50</v>
      </c>
      <c r="AJ93" s="49">
        <v>15</v>
      </c>
      <c r="AK93" s="49">
        <f t="shared" si="70"/>
        <v>50</v>
      </c>
      <c r="AL93" s="49">
        <v>42</v>
      </c>
      <c r="AM93" s="51">
        <f t="shared" si="71"/>
        <v>92</v>
      </c>
      <c r="AN93" s="49" t="s">
        <v>184</v>
      </c>
      <c r="AO93" s="51" t="str">
        <f>IFERROR(VLOOKUP(AN93,'[1]back office'!$A$36:$B$38,2,FALSE),"-")</f>
        <v>-</v>
      </c>
    </row>
    <row r="94" spans="1:41">
      <c r="A94" s="47" t="s">
        <v>185</v>
      </c>
      <c r="B94" s="50" t="str">
        <f>IF(C94="","",IF(C94&gt;=PQCDSM!$G$4,"AA",IF(AND(C94&gt;=PQCDSM!$G$3,C94&lt;PQCDSM!$G$4),"A",IF(AND(C94&gt;=PQCDSM!$G$2,C94&lt;PQCDSM!$G$3),"B","C"))))</f>
        <v>A</v>
      </c>
      <c r="C94" s="50">
        <f t="shared" si="66"/>
        <v>208</v>
      </c>
      <c r="D94" s="49" t="s">
        <v>50</v>
      </c>
      <c r="E94" s="49" t="s">
        <v>73</v>
      </c>
      <c r="F94" s="49" t="s">
        <v>74</v>
      </c>
      <c r="G94" s="49" t="s">
        <v>53</v>
      </c>
      <c r="H94" s="49" t="s">
        <v>54</v>
      </c>
      <c r="I94" s="49" t="s">
        <v>55</v>
      </c>
      <c r="J94" s="50">
        <f>IFERROR(VLOOKUP(D94,'[1]back office'!$A$4:$B$6,2,FALSE),"-")</f>
        <v>25</v>
      </c>
      <c r="K94" s="50">
        <f>IFERROR(VLOOKUP(E94,'[1]back office'!$C$4:$D$6,2,FALSE),"-")</f>
        <v>0</v>
      </c>
      <c r="L94" s="50">
        <f>IFERROR(VLOOKUP(F94,'[1]back office'!$E$4:$F$6,2,FALSE),"-")</f>
        <v>15</v>
      </c>
      <c r="M94" s="50">
        <f>IFERROR(VLOOKUP(G94,'[1]back office'!$G$4:$H$6,2,FALSE),"-")</f>
        <v>15</v>
      </c>
      <c r="N94" s="50">
        <f>IFERROR(VLOOKUP(H94,'[1]back office'!$I$4:$J$6,2,FALSE),"-")</f>
        <v>0</v>
      </c>
      <c r="O94" s="50">
        <f>IFERROR(VLOOKUP(I94,'[1]back office'!$K$4:$L$6,2,FALSE),"-")</f>
        <v>35</v>
      </c>
      <c r="P94" s="51">
        <f t="shared" si="67"/>
        <v>90</v>
      </c>
      <c r="Q94" s="49" t="s">
        <v>54</v>
      </c>
      <c r="R94" s="49" t="s">
        <v>57</v>
      </c>
      <c r="S94" s="49" t="s">
        <v>58</v>
      </c>
      <c r="T94" s="50">
        <f>IFERROR(VLOOKUP(Q94,'[1]back office'!$A$11:$B$13,2,FALSE),"-")</f>
        <v>0</v>
      </c>
      <c r="U94" s="50">
        <f>IFERROR(VLOOKUP(R94,'[1]back office'!$C$11:$D$13,2,FALSE),"-")</f>
        <v>0</v>
      </c>
      <c r="V94" s="50" t="str">
        <f>IFERROR(VLOOKUP(S94,'[1]back office'!$E$11:$F$13,2,FALSE),"-")</f>
        <v>-</v>
      </c>
      <c r="W94" s="51">
        <f t="shared" si="68"/>
        <v>0</v>
      </c>
      <c r="X94" s="49" t="s">
        <v>70</v>
      </c>
      <c r="Y94" s="49" t="s">
        <v>84</v>
      </c>
      <c r="Z94" s="49" t="s">
        <v>75</v>
      </c>
      <c r="AA94" s="49" t="s">
        <v>76</v>
      </c>
      <c r="AB94" s="50" t="str">
        <f>IFERROR(VLOOKUP(X94,'[1]back office'!$A$17:$B$19,2,FALSE),"-")</f>
        <v>-</v>
      </c>
      <c r="AC94" s="50">
        <f>IFERROR(VLOOKUP(Y94,'[1]back office'!$C$17:$D$19,2,FALSE),"-")</f>
        <v>5</v>
      </c>
      <c r="AD94" s="50">
        <f>IFERROR(VLOOKUP(Z94,'[1]back office'!$E$17:$F$19,2,FALSE),"-")</f>
        <v>20</v>
      </c>
      <c r="AE94" s="50">
        <f>IFERROR(VLOOKUP(AA94,'[1]back office'!$G$17:$H$19,2,FALSE),"-")</f>
        <v>0</v>
      </c>
      <c r="AF94" s="51">
        <f t="shared" si="69"/>
        <v>25</v>
      </c>
      <c r="AG94" s="49" t="s">
        <v>63</v>
      </c>
      <c r="AH94" s="51">
        <f>IFERROR(VLOOKUP(AG94,'[1]back office'!$A$23:$B$25,2,FALSE),"-")</f>
        <v>0</v>
      </c>
      <c r="AI94" s="49">
        <v>50</v>
      </c>
      <c r="AJ94" s="49">
        <v>15</v>
      </c>
      <c r="AK94" s="49">
        <f t="shared" si="70"/>
        <v>50</v>
      </c>
      <c r="AL94" s="49">
        <v>43</v>
      </c>
      <c r="AM94" s="51">
        <f t="shared" si="71"/>
        <v>93</v>
      </c>
      <c r="AN94" s="49" t="s">
        <v>186</v>
      </c>
      <c r="AO94" s="51" t="str">
        <f>IFERROR(VLOOKUP(AN94,'[1]back office'!$A$36:$B$38,2,FALSE),"-")</f>
        <v>-</v>
      </c>
    </row>
    <row r="95" spans="1:41">
      <c r="A95" s="47" t="s">
        <v>187</v>
      </c>
      <c r="B95" s="50" t="str">
        <f>IF(C95="","",IF(C95&gt;=PQCDSM!$G$4,"AA",IF(AND(C95&gt;=PQCDSM!$G$3,C95&lt;PQCDSM!$G$4),"A",IF(AND(C95&gt;=PQCDSM!$G$2,C95&lt;PQCDSM!$G$3),"B","C"))))</f>
        <v>A</v>
      </c>
      <c r="C95" s="50">
        <f t="shared" si="66"/>
        <v>209</v>
      </c>
      <c r="D95" s="49" t="s">
        <v>50</v>
      </c>
      <c r="E95" s="49" t="s">
        <v>73</v>
      </c>
      <c r="F95" s="49" t="s">
        <v>74</v>
      </c>
      <c r="G95" s="49" t="s">
        <v>53</v>
      </c>
      <c r="H95" s="49" t="s">
        <v>54</v>
      </c>
      <c r="I95" s="49" t="s">
        <v>55</v>
      </c>
      <c r="J95" s="50">
        <f>IFERROR(VLOOKUP(D95,'[1]back office'!$A$4:$B$6,2,FALSE),"-")</f>
        <v>25</v>
      </c>
      <c r="K95" s="50">
        <f>IFERROR(VLOOKUP(E95,'[1]back office'!$C$4:$D$6,2,FALSE),"-")</f>
        <v>0</v>
      </c>
      <c r="L95" s="50">
        <f>IFERROR(VLOOKUP(F95,'[1]back office'!$E$4:$F$6,2,FALSE),"-")</f>
        <v>15</v>
      </c>
      <c r="M95" s="50">
        <f>IFERROR(VLOOKUP(G95,'[1]back office'!$G$4:$H$6,2,FALSE),"-")</f>
        <v>15</v>
      </c>
      <c r="N95" s="50">
        <f>IFERROR(VLOOKUP(H95,'[1]back office'!$I$4:$J$6,2,FALSE),"-")</f>
        <v>0</v>
      </c>
      <c r="O95" s="50">
        <f>IFERROR(VLOOKUP(I95,'[1]back office'!$K$4:$L$6,2,FALSE),"-")</f>
        <v>35</v>
      </c>
      <c r="P95" s="51">
        <f t="shared" si="67"/>
        <v>90</v>
      </c>
      <c r="Q95" s="49" t="s">
        <v>54</v>
      </c>
      <c r="R95" s="49" t="s">
        <v>57</v>
      </c>
      <c r="S95" s="49" t="s">
        <v>58</v>
      </c>
      <c r="T95" s="50">
        <f>IFERROR(VLOOKUP(Q95,'[1]back office'!$A$11:$B$13,2,FALSE),"-")</f>
        <v>0</v>
      </c>
      <c r="U95" s="50">
        <f>IFERROR(VLOOKUP(R95,'[1]back office'!$C$11:$D$13,2,FALSE),"-")</f>
        <v>0</v>
      </c>
      <c r="V95" s="50" t="str">
        <f>IFERROR(VLOOKUP(S95,'[1]back office'!$E$11:$F$13,2,FALSE),"-")</f>
        <v>-</v>
      </c>
      <c r="W95" s="51">
        <f t="shared" si="68"/>
        <v>0</v>
      </c>
      <c r="X95" s="49" t="s">
        <v>70</v>
      </c>
      <c r="Y95" s="49" t="s">
        <v>84</v>
      </c>
      <c r="Z95" s="49" t="s">
        <v>75</v>
      </c>
      <c r="AA95" s="49" t="s">
        <v>76</v>
      </c>
      <c r="AB95" s="50" t="str">
        <f>IFERROR(VLOOKUP(X95,'[1]back office'!$A$17:$B$19,2,FALSE),"-")</f>
        <v>-</v>
      </c>
      <c r="AC95" s="50">
        <f>IFERROR(VLOOKUP(Y95,'[1]back office'!$C$17:$D$19,2,FALSE),"-")</f>
        <v>5</v>
      </c>
      <c r="AD95" s="50">
        <f>IFERROR(VLOOKUP(Z95,'[1]back office'!$E$17:$F$19,2,FALSE),"-")</f>
        <v>20</v>
      </c>
      <c r="AE95" s="50">
        <f>IFERROR(VLOOKUP(AA95,'[1]back office'!$G$17:$H$19,2,FALSE),"-")</f>
        <v>0</v>
      </c>
      <c r="AF95" s="51">
        <f t="shared" si="69"/>
        <v>25</v>
      </c>
      <c r="AG95" s="49" t="s">
        <v>63</v>
      </c>
      <c r="AH95" s="51">
        <f>IFERROR(VLOOKUP(AG95,'[1]back office'!$A$23:$B$25,2,FALSE),"-")</f>
        <v>0</v>
      </c>
      <c r="AI95" s="49">
        <v>50</v>
      </c>
      <c r="AJ95" s="49">
        <v>15</v>
      </c>
      <c r="AK95" s="49">
        <f t="shared" si="70"/>
        <v>50</v>
      </c>
      <c r="AL95" s="49">
        <v>44</v>
      </c>
      <c r="AM95" s="51">
        <f t="shared" si="71"/>
        <v>94</v>
      </c>
      <c r="AN95" s="49" t="s">
        <v>188</v>
      </c>
      <c r="AO95" s="51" t="str">
        <f>IFERROR(VLOOKUP(AN95,'[1]back office'!$A$36:$B$38,2,FALSE),"-")</f>
        <v>-</v>
      </c>
    </row>
    <row r="96" spans="1:41">
      <c r="A96" s="47" t="s">
        <v>189</v>
      </c>
      <c r="B96" s="50" t="str">
        <f>IF(C96="","",IF(C96&gt;=PQCDSM!$G$4,"AA",IF(AND(C96&gt;=PQCDSM!$G$3,C96&lt;PQCDSM!$G$4),"A",IF(AND(C96&gt;=PQCDSM!$G$2,C96&lt;PQCDSM!$G$3),"B","C"))))</f>
        <v>A</v>
      </c>
      <c r="C96" s="50">
        <f t="shared" si="66"/>
        <v>210</v>
      </c>
      <c r="D96" s="49" t="s">
        <v>50</v>
      </c>
      <c r="E96" s="49" t="s">
        <v>73</v>
      </c>
      <c r="F96" s="49" t="s">
        <v>74</v>
      </c>
      <c r="G96" s="49" t="s">
        <v>53</v>
      </c>
      <c r="H96" s="49" t="s">
        <v>54</v>
      </c>
      <c r="I96" s="49" t="s">
        <v>55</v>
      </c>
      <c r="J96" s="50">
        <f>IFERROR(VLOOKUP(D96,'[1]back office'!$A$4:$B$6,2,FALSE),"-")</f>
        <v>25</v>
      </c>
      <c r="K96" s="50">
        <f>IFERROR(VLOOKUP(E96,'[1]back office'!$C$4:$D$6,2,FALSE),"-")</f>
        <v>0</v>
      </c>
      <c r="L96" s="50">
        <f>IFERROR(VLOOKUP(F96,'[1]back office'!$E$4:$F$6,2,FALSE),"-")</f>
        <v>15</v>
      </c>
      <c r="M96" s="50">
        <f>IFERROR(VLOOKUP(G96,'[1]back office'!$G$4:$H$6,2,FALSE),"-")</f>
        <v>15</v>
      </c>
      <c r="N96" s="50">
        <f>IFERROR(VLOOKUP(H96,'[1]back office'!$I$4:$J$6,2,FALSE),"-")</f>
        <v>0</v>
      </c>
      <c r="O96" s="50">
        <f>IFERROR(VLOOKUP(I96,'[1]back office'!$K$4:$L$6,2,FALSE),"-")</f>
        <v>35</v>
      </c>
      <c r="P96" s="51">
        <f t="shared" si="67"/>
        <v>90</v>
      </c>
      <c r="Q96" s="49" t="s">
        <v>54</v>
      </c>
      <c r="R96" s="49" t="s">
        <v>57</v>
      </c>
      <c r="S96" s="49" t="s">
        <v>58</v>
      </c>
      <c r="T96" s="50">
        <f>IFERROR(VLOOKUP(Q96,'[1]back office'!$A$11:$B$13,2,FALSE),"-")</f>
        <v>0</v>
      </c>
      <c r="U96" s="50">
        <f>IFERROR(VLOOKUP(R96,'[1]back office'!$C$11:$D$13,2,FALSE),"-")</f>
        <v>0</v>
      </c>
      <c r="V96" s="50" t="str">
        <f>IFERROR(VLOOKUP(S96,'[1]back office'!$E$11:$F$13,2,FALSE),"-")</f>
        <v>-</v>
      </c>
      <c r="W96" s="51">
        <f t="shared" si="68"/>
        <v>0</v>
      </c>
      <c r="X96" s="49" t="s">
        <v>70</v>
      </c>
      <c r="Y96" s="49" t="s">
        <v>84</v>
      </c>
      <c r="Z96" s="49" t="s">
        <v>75</v>
      </c>
      <c r="AA96" s="49" t="s">
        <v>76</v>
      </c>
      <c r="AB96" s="50" t="str">
        <f>IFERROR(VLOOKUP(X96,'[1]back office'!$A$17:$B$19,2,FALSE),"-")</f>
        <v>-</v>
      </c>
      <c r="AC96" s="50">
        <f>IFERROR(VLOOKUP(Y96,'[1]back office'!$C$17:$D$19,2,FALSE),"-")</f>
        <v>5</v>
      </c>
      <c r="AD96" s="50">
        <f>IFERROR(VLOOKUP(Z96,'[1]back office'!$E$17:$F$19,2,FALSE),"-")</f>
        <v>20</v>
      </c>
      <c r="AE96" s="50">
        <f>IFERROR(VLOOKUP(AA96,'[1]back office'!$G$17:$H$19,2,FALSE),"-")</f>
        <v>0</v>
      </c>
      <c r="AF96" s="51">
        <f t="shared" si="69"/>
        <v>25</v>
      </c>
      <c r="AG96" s="49" t="s">
        <v>63</v>
      </c>
      <c r="AH96" s="51">
        <f>IFERROR(VLOOKUP(AG96,'[1]back office'!$A$23:$B$25,2,FALSE),"-")</f>
        <v>0</v>
      </c>
      <c r="AI96" s="49">
        <v>50</v>
      </c>
      <c r="AJ96" s="49">
        <v>15</v>
      </c>
      <c r="AK96" s="49">
        <f t="shared" si="70"/>
        <v>50</v>
      </c>
      <c r="AL96" s="49">
        <v>45</v>
      </c>
      <c r="AM96" s="51">
        <f t="shared" si="71"/>
        <v>95</v>
      </c>
      <c r="AN96" s="49" t="s">
        <v>190</v>
      </c>
      <c r="AO96" s="51" t="str">
        <f>IFERROR(VLOOKUP(AN96,'[1]back office'!$A$36:$B$38,2,FALSE),"-")</f>
        <v>-</v>
      </c>
    </row>
    <row r="97" spans="1:41">
      <c r="A97" s="47" t="s">
        <v>191</v>
      </c>
      <c r="B97" s="50" t="str">
        <f>IF(C97="","",IF(C97&gt;=PQCDSM!$G$4,"AA",IF(AND(C97&gt;=PQCDSM!$G$3,C97&lt;PQCDSM!$G$4),"A",IF(AND(C97&gt;=PQCDSM!$G$2,C97&lt;PQCDSM!$G$3),"B","C"))))</f>
        <v>A</v>
      </c>
      <c r="C97" s="50">
        <f t="shared" si="66"/>
        <v>226</v>
      </c>
      <c r="D97" s="49" t="s">
        <v>50</v>
      </c>
      <c r="E97" s="49" t="s">
        <v>92</v>
      </c>
      <c r="F97" s="49" t="s">
        <v>74</v>
      </c>
      <c r="G97" s="49" t="s">
        <v>53</v>
      </c>
      <c r="H97" s="49" t="s">
        <v>54</v>
      </c>
      <c r="I97" s="49" t="s">
        <v>55</v>
      </c>
      <c r="J97" s="50">
        <f>IFERROR(VLOOKUP(D97,'[1]back office'!$A$4:$B$6,2,FALSE),"-")</f>
        <v>25</v>
      </c>
      <c r="K97" s="50">
        <f>IFERROR(VLOOKUP(E97,'[1]back office'!$C$4:$D$6,2,FALSE),"-")</f>
        <v>15</v>
      </c>
      <c r="L97" s="50">
        <f>IFERROR(VLOOKUP(F97,'[1]back office'!$E$4:$F$6,2,FALSE),"-")</f>
        <v>15</v>
      </c>
      <c r="M97" s="50">
        <f>IFERROR(VLOOKUP(G97,'[1]back office'!$G$4:$H$6,2,FALSE),"-")</f>
        <v>15</v>
      </c>
      <c r="N97" s="50">
        <f>IFERROR(VLOOKUP(H97,'[1]back office'!$I$4:$J$6,2,FALSE),"-")</f>
        <v>0</v>
      </c>
      <c r="O97" s="50">
        <f>IFERROR(VLOOKUP(I97,'[1]back office'!$K$4:$L$6,2,FALSE),"-")</f>
        <v>35</v>
      </c>
      <c r="P97" s="51">
        <f t="shared" si="67"/>
        <v>105</v>
      </c>
      <c r="Q97" s="49" t="s">
        <v>54</v>
      </c>
      <c r="R97" s="49" t="s">
        <v>57</v>
      </c>
      <c r="S97" s="49" t="s">
        <v>58</v>
      </c>
      <c r="T97" s="50">
        <f>IFERROR(VLOOKUP(Q97,'[1]back office'!$A$11:$B$13,2,FALSE),"-")</f>
        <v>0</v>
      </c>
      <c r="U97" s="50">
        <f>IFERROR(VLOOKUP(R97,'[1]back office'!$C$11:$D$13,2,FALSE),"-")</f>
        <v>0</v>
      </c>
      <c r="V97" s="50" t="str">
        <f>IFERROR(VLOOKUP(S97,'[1]back office'!$E$11:$F$13,2,FALSE),"-")</f>
        <v>-</v>
      </c>
      <c r="W97" s="51">
        <f t="shared" si="68"/>
        <v>0</v>
      </c>
      <c r="X97" s="49" t="s">
        <v>70</v>
      </c>
      <c r="Y97" s="49" t="s">
        <v>84</v>
      </c>
      <c r="Z97" s="49" t="s">
        <v>75</v>
      </c>
      <c r="AA97" s="49" t="s">
        <v>76</v>
      </c>
      <c r="AB97" s="50" t="str">
        <f>IFERROR(VLOOKUP(X97,'[1]back office'!$A$17:$B$19,2,FALSE),"-")</f>
        <v>-</v>
      </c>
      <c r="AC97" s="50">
        <f>IFERROR(VLOOKUP(Y97,'[1]back office'!$C$17:$D$19,2,FALSE),"-")</f>
        <v>5</v>
      </c>
      <c r="AD97" s="50">
        <f>IFERROR(VLOOKUP(Z97,'[1]back office'!$E$17:$F$19,2,FALSE),"-")</f>
        <v>20</v>
      </c>
      <c r="AE97" s="50">
        <f>IFERROR(VLOOKUP(AA97,'[1]back office'!$G$17:$H$19,2,FALSE),"-")</f>
        <v>0</v>
      </c>
      <c r="AF97" s="51">
        <f t="shared" si="69"/>
        <v>25</v>
      </c>
      <c r="AG97" s="49" t="s">
        <v>63</v>
      </c>
      <c r="AH97" s="51">
        <f>IFERROR(VLOOKUP(AG97,'[1]back office'!$A$23:$B$25,2,FALSE),"-")</f>
        <v>0</v>
      </c>
      <c r="AI97" s="49">
        <v>50</v>
      </c>
      <c r="AJ97" s="49">
        <v>15</v>
      </c>
      <c r="AK97" s="49">
        <f t="shared" si="70"/>
        <v>50</v>
      </c>
      <c r="AL97" s="49">
        <v>46</v>
      </c>
      <c r="AM97" s="51">
        <f t="shared" si="71"/>
        <v>96</v>
      </c>
      <c r="AN97" s="49" t="s">
        <v>192</v>
      </c>
      <c r="AO97" s="51" t="str">
        <f>IFERROR(VLOOKUP(AN97,'[1]back office'!$A$36:$B$38,2,FALSE),"-")</f>
        <v>-</v>
      </c>
    </row>
    <row r="98" spans="1:41">
      <c r="A98" s="47" t="s">
        <v>193</v>
      </c>
      <c r="B98" s="50" t="str">
        <f>IF(C98="","",IF(C98&gt;=PQCDSM!$G$4,"AA",IF(AND(C98&gt;=PQCDSM!$G$3,C98&lt;PQCDSM!$G$4),"A",IF(AND(C98&gt;=PQCDSM!$G$2,C98&lt;PQCDSM!$G$3),"B","C"))))</f>
        <v>A</v>
      </c>
      <c r="C98" s="50">
        <f t="shared" si="66"/>
        <v>212</v>
      </c>
      <c r="D98" s="49" t="s">
        <v>50</v>
      </c>
      <c r="E98" s="49" t="s">
        <v>73</v>
      </c>
      <c r="F98" s="49" t="s">
        <v>74</v>
      </c>
      <c r="G98" s="49" t="s">
        <v>53</v>
      </c>
      <c r="H98" s="49" t="s">
        <v>54</v>
      </c>
      <c r="I98" s="49" t="s">
        <v>55</v>
      </c>
      <c r="J98" s="50">
        <f>IFERROR(VLOOKUP(D98,'[1]back office'!$A$4:$B$6,2,FALSE),"-")</f>
        <v>25</v>
      </c>
      <c r="K98" s="50">
        <f>IFERROR(VLOOKUP(E98,'[1]back office'!$C$4:$D$6,2,FALSE),"-")</f>
        <v>0</v>
      </c>
      <c r="L98" s="50">
        <f>IFERROR(VLOOKUP(F98,'[1]back office'!$E$4:$F$6,2,FALSE),"-")</f>
        <v>15</v>
      </c>
      <c r="M98" s="50">
        <f>IFERROR(VLOOKUP(G98,'[1]back office'!$G$4:$H$6,2,FALSE),"-")</f>
        <v>15</v>
      </c>
      <c r="N98" s="50">
        <f>IFERROR(VLOOKUP(H98,'[1]back office'!$I$4:$J$6,2,FALSE),"-")</f>
        <v>0</v>
      </c>
      <c r="O98" s="50">
        <f>IFERROR(VLOOKUP(I98,'[1]back office'!$K$4:$L$6,2,FALSE),"-")</f>
        <v>35</v>
      </c>
      <c r="P98" s="51">
        <f t="shared" si="67"/>
        <v>90</v>
      </c>
      <c r="Q98" s="49" t="s">
        <v>54</v>
      </c>
      <c r="R98" s="49" t="s">
        <v>57</v>
      </c>
      <c r="S98" s="49" t="s">
        <v>58</v>
      </c>
      <c r="T98" s="50">
        <f>IFERROR(VLOOKUP(Q98,'[1]back office'!$A$11:$B$13,2,FALSE),"-")</f>
        <v>0</v>
      </c>
      <c r="U98" s="50">
        <f>IFERROR(VLOOKUP(R98,'[1]back office'!$C$11:$D$13,2,FALSE),"-")</f>
        <v>0</v>
      </c>
      <c r="V98" s="50" t="str">
        <f>IFERROR(VLOOKUP(S98,'[1]back office'!$E$11:$F$13,2,FALSE),"-")</f>
        <v>-</v>
      </c>
      <c r="W98" s="51">
        <f t="shared" si="68"/>
        <v>0</v>
      </c>
      <c r="X98" s="49" t="s">
        <v>70</v>
      </c>
      <c r="Y98" s="49" t="s">
        <v>84</v>
      </c>
      <c r="Z98" s="49" t="s">
        <v>75</v>
      </c>
      <c r="AA98" s="49" t="s">
        <v>76</v>
      </c>
      <c r="AB98" s="50" t="str">
        <f>IFERROR(VLOOKUP(X98,'[1]back office'!$A$17:$B$19,2,FALSE),"-")</f>
        <v>-</v>
      </c>
      <c r="AC98" s="50">
        <f>IFERROR(VLOOKUP(Y98,'[1]back office'!$C$17:$D$19,2,FALSE),"-")</f>
        <v>5</v>
      </c>
      <c r="AD98" s="50">
        <f>IFERROR(VLOOKUP(Z98,'[1]back office'!$E$17:$F$19,2,FALSE),"-")</f>
        <v>20</v>
      </c>
      <c r="AE98" s="50">
        <f>IFERROR(VLOOKUP(AA98,'[1]back office'!$G$17:$H$19,2,FALSE),"-")</f>
        <v>0</v>
      </c>
      <c r="AF98" s="51">
        <f t="shared" si="69"/>
        <v>25</v>
      </c>
      <c r="AG98" s="49" t="s">
        <v>63</v>
      </c>
      <c r="AH98" s="51">
        <f>IFERROR(VLOOKUP(AG98,'[1]back office'!$A$23:$B$25,2,FALSE),"-")</f>
        <v>0</v>
      </c>
      <c r="AI98" s="49">
        <v>50</v>
      </c>
      <c r="AJ98" s="49">
        <v>15</v>
      </c>
      <c r="AK98" s="49">
        <f t="shared" si="70"/>
        <v>50</v>
      </c>
      <c r="AL98" s="49">
        <v>47</v>
      </c>
      <c r="AM98" s="51">
        <f t="shared" si="71"/>
        <v>97</v>
      </c>
      <c r="AN98" s="49" t="s">
        <v>194</v>
      </c>
      <c r="AO98" s="51" t="str">
        <f>IFERROR(VLOOKUP(AN98,'[1]back office'!$A$36:$B$38,2,FALSE),"-")</f>
        <v>-</v>
      </c>
    </row>
    <row r="99" spans="1:41">
      <c r="A99" s="47" t="s">
        <v>195</v>
      </c>
      <c r="B99" s="50" t="str">
        <f>IF(C99="","",IF(C99&gt;=PQCDSM!$G$4,"AA",IF(AND(C99&gt;=PQCDSM!$G$3,C99&lt;PQCDSM!$G$4),"A",IF(AND(C99&gt;=PQCDSM!$G$2,C99&lt;PQCDSM!$G$3),"B","C"))))</f>
        <v>A</v>
      </c>
      <c r="C99" s="50">
        <f t="shared" si="66"/>
        <v>213</v>
      </c>
      <c r="D99" s="49" t="s">
        <v>50</v>
      </c>
      <c r="E99" s="49" t="s">
        <v>73</v>
      </c>
      <c r="F99" s="49" t="s">
        <v>74</v>
      </c>
      <c r="G99" s="49" t="s">
        <v>53</v>
      </c>
      <c r="H99" s="49" t="s">
        <v>54</v>
      </c>
      <c r="I99" s="49" t="s">
        <v>55</v>
      </c>
      <c r="J99" s="50">
        <f>IFERROR(VLOOKUP(D99,'[1]back office'!$A$4:$B$6,2,FALSE),"-")</f>
        <v>25</v>
      </c>
      <c r="K99" s="50">
        <f>IFERROR(VLOOKUP(E99,'[1]back office'!$C$4:$D$6,2,FALSE),"-")</f>
        <v>0</v>
      </c>
      <c r="L99" s="50">
        <f>IFERROR(VLOOKUP(F99,'[1]back office'!$E$4:$F$6,2,FALSE),"-")</f>
        <v>15</v>
      </c>
      <c r="M99" s="50">
        <f>IFERROR(VLOOKUP(G99,'[1]back office'!$G$4:$H$6,2,FALSE),"-")</f>
        <v>15</v>
      </c>
      <c r="N99" s="50">
        <f>IFERROR(VLOOKUP(H99,'[1]back office'!$I$4:$J$6,2,FALSE),"-")</f>
        <v>0</v>
      </c>
      <c r="O99" s="50">
        <f>IFERROR(VLOOKUP(I99,'[1]back office'!$K$4:$L$6,2,FALSE),"-")</f>
        <v>35</v>
      </c>
      <c r="P99" s="51">
        <f t="shared" si="67"/>
        <v>90</v>
      </c>
      <c r="Q99" s="49" t="s">
        <v>54</v>
      </c>
      <c r="R99" s="49" t="s">
        <v>57</v>
      </c>
      <c r="S99" s="49" t="s">
        <v>58</v>
      </c>
      <c r="T99" s="50">
        <f>IFERROR(VLOOKUP(Q99,'[1]back office'!$A$11:$B$13,2,FALSE),"-")</f>
        <v>0</v>
      </c>
      <c r="U99" s="50">
        <f>IFERROR(VLOOKUP(R99,'[1]back office'!$C$11:$D$13,2,FALSE),"-")</f>
        <v>0</v>
      </c>
      <c r="V99" s="50" t="str">
        <f>IFERROR(VLOOKUP(S99,'[1]back office'!$E$11:$F$13,2,FALSE),"-")</f>
        <v>-</v>
      </c>
      <c r="W99" s="51">
        <f t="shared" si="68"/>
        <v>0</v>
      </c>
      <c r="X99" s="49" t="s">
        <v>70</v>
      </c>
      <c r="Y99" s="49" t="s">
        <v>84</v>
      </c>
      <c r="Z99" s="49" t="s">
        <v>75</v>
      </c>
      <c r="AA99" s="49" t="s">
        <v>76</v>
      </c>
      <c r="AB99" s="50" t="str">
        <f>IFERROR(VLOOKUP(X99,'[1]back office'!$A$17:$B$19,2,FALSE),"-")</f>
        <v>-</v>
      </c>
      <c r="AC99" s="50">
        <f>IFERROR(VLOOKUP(Y99,'[1]back office'!$C$17:$D$19,2,FALSE),"-")</f>
        <v>5</v>
      </c>
      <c r="AD99" s="50">
        <f>IFERROR(VLOOKUP(Z99,'[1]back office'!$E$17:$F$19,2,FALSE),"-")</f>
        <v>20</v>
      </c>
      <c r="AE99" s="50">
        <f>IFERROR(VLOOKUP(AA99,'[1]back office'!$G$17:$H$19,2,FALSE),"-")</f>
        <v>0</v>
      </c>
      <c r="AF99" s="51">
        <f t="shared" si="69"/>
        <v>25</v>
      </c>
      <c r="AG99" s="49" t="s">
        <v>63</v>
      </c>
      <c r="AH99" s="51">
        <f>IFERROR(VLOOKUP(AG99,'[1]back office'!$A$23:$B$25,2,FALSE),"-")</f>
        <v>0</v>
      </c>
      <c r="AI99" s="49">
        <v>50</v>
      </c>
      <c r="AJ99" s="49">
        <v>15</v>
      </c>
      <c r="AK99" s="49">
        <f t="shared" si="70"/>
        <v>50</v>
      </c>
      <c r="AL99" s="49">
        <v>48</v>
      </c>
      <c r="AM99" s="51">
        <f t="shared" si="71"/>
        <v>98</v>
      </c>
      <c r="AN99" s="49" t="s">
        <v>196</v>
      </c>
      <c r="AO99" s="51" t="str">
        <f>IFERROR(VLOOKUP(AN99,'[1]back office'!$A$36:$B$38,2,FALSE),"-")</f>
        <v>-</v>
      </c>
    </row>
    <row r="100" spans="1:41">
      <c r="A100" s="47" t="s">
        <v>197</v>
      </c>
      <c r="B100" s="50" t="str">
        <f>IF(C100="","",IF(C100&gt;=PQCDSM!$G$4,"AA",IF(AND(C100&gt;=PQCDSM!$G$3,C100&lt;PQCDSM!$G$4),"A",IF(AND(C100&gt;=PQCDSM!$G$2,C100&lt;PQCDSM!$G$3),"B","C"))))</f>
        <v>A</v>
      </c>
      <c r="C100" s="50">
        <f t="shared" si="66"/>
        <v>229</v>
      </c>
      <c r="D100" s="49" t="s">
        <v>50</v>
      </c>
      <c r="E100" s="49" t="s">
        <v>92</v>
      </c>
      <c r="F100" s="49" t="s">
        <v>74</v>
      </c>
      <c r="G100" s="49" t="s">
        <v>53</v>
      </c>
      <c r="H100" s="49" t="s">
        <v>54</v>
      </c>
      <c r="I100" s="49" t="s">
        <v>55</v>
      </c>
      <c r="J100" s="50">
        <f>IFERROR(VLOOKUP(D100,'[1]back office'!$A$4:$B$6,2,FALSE),"-")</f>
        <v>25</v>
      </c>
      <c r="K100" s="50">
        <f>IFERROR(VLOOKUP(E100,'[1]back office'!$C$4:$D$6,2,FALSE),"-")</f>
        <v>15</v>
      </c>
      <c r="L100" s="50">
        <f>IFERROR(VLOOKUP(F100,'[1]back office'!$E$4:$F$6,2,FALSE),"-")</f>
        <v>15</v>
      </c>
      <c r="M100" s="50">
        <f>IFERROR(VLOOKUP(G100,'[1]back office'!$G$4:$H$6,2,FALSE),"-")</f>
        <v>15</v>
      </c>
      <c r="N100" s="50">
        <f>IFERROR(VLOOKUP(H100,'[1]back office'!$I$4:$J$6,2,FALSE),"-")</f>
        <v>0</v>
      </c>
      <c r="O100" s="50">
        <f>IFERROR(VLOOKUP(I100,'[1]back office'!$K$4:$L$6,2,FALSE),"-")</f>
        <v>35</v>
      </c>
      <c r="P100" s="51">
        <f t="shared" si="67"/>
        <v>105</v>
      </c>
      <c r="Q100" s="49" t="s">
        <v>54</v>
      </c>
      <c r="R100" s="49" t="s">
        <v>57</v>
      </c>
      <c r="S100" s="49" t="s">
        <v>58</v>
      </c>
      <c r="T100" s="50">
        <f>IFERROR(VLOOKUP(Q100,'[1]back office'!$A$11:$B$13,2,FALSE),"-")</f>
        <v>0</v>
      </c>
      <c r="U100" s="50">
        <f>IFERROR(VLOOKUP(R100,'[1]back office'!$C$11:$D$13,2,FALSE),"-")</f>
        <v>0</v>
      </c>
      <c r="V100" s="50" t="str">
        <f>IFERROR(VLOOKUP(S100,'[1]back office'!$E$11:$F$13,2,FALSE),"-")</f>
        <v>-</v>
      </c>
      <c r="W100" s="51">
        <f t="shared" si="68"/>
        <v>0</v>
      </c>
      <c r="X100" s="49" t="s">
        <v>70</v>
      </c>
      <c r="Y100" s="49" t="s">
        <v>84</v>
      </c>
      <c r="Z100" s="49" t="s">
        <v>75</v>
      </c>
      <c r="AA100" s="49" t="s">
        <v>76</v>
      </c>
      <c r="AB100" s="50" t="str">
        <f>IFERROR(VLOOKUP(X100,'[1]back office'!$A$17:$B$19,2,FALSE),"-")</f>
        <v>-</v>
      </c>
      <c r="AC100" s="50">
        <f>IFERROR(VLOOKUP(Y100,'[1]back office'!$C$17:$D$19,2,FALSE),"-")</f>
        <v>5</v>
      </c>
      <c r="AD100" s="50">
        <f>IFERROR(VLOOKUP(Z100,'[1]back office'!$E$17:$F$19,2,FALSE),"-")</f>
        <v>20</v>
      </c>
      <c r="AE100" s="50">
        <f>IFERROR(VLOOKUP(AA100,'[1]back office'!$G$17:$H$19,2,FALSE),"-")</f>
        <v>0</v>
      </c>
      <c r="AF100" s="51">
        <f t="shared" si="69"/>
        <v>25</v>
      </c>
      <c r="AG100" s="49" t="s">
        <v>63</v>
      </c>
      <c r="AH100" s="51">
        <f>IFERROR(VLOOKUP(AG100,'[1]back office'!$A$23:$B$25,2,FALSE),"-")</f>
        <v>0</v>
      </c>
      <c r="AI100" s="49">
        <v>50</v>
      </c>
      <c r="AJ100" s="49">
        <v>15</v>
      </c>
      <c r="AK100" s="49">
        <f t="shared" si="70"/>
        <v>50</v>
      </c>
      <c r="AL100" s="49">
        <v>49</v>
      </c>
      <c r="AM100" s="51">
        <f t="shared" si="71"/>
        <v>99</v>
      </c>
      <c r="AN100" s="49" t="s">
        <v>198</v>
      </c>
      <c r="AO100" s="51" t="str">
        <f>IFERROR(VLOOKUP(AN100,'[1]back office'!$A$36:$B$38,2,FALSE),"-")</f>
        <v>-</v>
      </c>
    </row>
    <row r="101" spans="1:41">
      <c r="A101" s="47" t="s">
        <v>199</v>
      </c>
      <c r="B101" s="50" t="str">
        <f>IF(C101="","",IF(C101&gt;=PQCDSM!$G$4,"AA",IF(AND(C101&gt;=PQCDSM!$G$3,C101&lt;PQCDSM!$G$4),"A",IF(AND(C101&gt;=PQCDSM!$G$2,C101&lt;PQCDSM!$G$3),"B","C"))))</f>
        <v>A</v>
      </c>
      <c r="C101" s="50">
        <f t="shared" si="66"/>
        <v>215</v>
      </c>
      <c r="D101" s="49" t="s">
        <v>50</v>
      </c>
      <c r="E101" s="49" t="s">
        <v>73</v>
      </c>
      <c r="F101" s="49" t="s">
        <v>74</v>
      </c>
      <c r="G101" s="49" t="s">
        <v>53</v>
      </c>
      <c r="H101" s="49" t="s">
        <v>54</v>
      </c>
      <c r="I101" s="49" t="s">
        <v>55</v>
      </c>
      <c r="J101" s="50">
        <f>IFERROR(VLOOKUP(D101,'[1]back office'!$A$4:$B$6,2,FALSE),"-")</f>
        <v>25</v>
      </c>
      <c r="K101" s="50">
        <f>IFERROR(VLOOKUP(E101,'[1]back office'!$C$4:$D$6,2,FALSE),"-")</f>
        <v>0</v>
      </c>
      <c r="L101" s="50">
        <f>IFERROR(VLOOKUP(F101,'[1]back office'!$E$4:$F$6,2,FALSE),"-")</f>
        <v>15</v>
      </c>
      <c r="M101" s="50">
        <f>IFERROR(VLOOKUP(G101,'[1]back office'!$G$4:$H$6,2,FALSE),"-")</f>
        <v>15</v>
      </c>
      <c r="N101" s="50">
        <f>IFERROR(VLOOKUP(H101,'[1]back office'!$I$4:$J$6,2,FALSE),"-")</f>
        <v>0</v>
      </c>
      <c r="O101" s="50">
        <f>IFERROR(VLOOKUP(I101,'[1]back office'!$K$4:$L$6,2,FALSE),"-")</f>
        <v>35</v>
      </c>
      <c r="P101" s="51">
        <f t="shared" si="67"/>
        <v>90</v>
      </c>
      <c r="Q101" s="49" t="s">
        <v>54</v>
      </c>
      <c r="R101" s="49" t="s">
        <v>57</v>
      </c>
      <c r="S101" s="49" t="s">
        <v>58</v>
      </c>
      <c r="T101" s="50">
        <f>IFERROR(VLOOKUP(Q101,'[1]back office'!$A$11:$B$13,2,FALSE),"-")</f>
        <v>0</v>
      </c>
      <c r="U101" s="50">
        <f>IFERROR(VLOOKUP(R101,'[1]back office'!$C$11:$D$13,2,FALSE),"-")</f>
        <v>0</v>
      </c>
      <c r="V101" s="50" t="str">
        <f>IFERROR(VLOOKUP(S101,'[1]back office'!$E$11:$F$13,2,FALSE),"-")</f>
        <v>-</v>
      </c>
      <c r="W101" s="51">
        <f t="shared" si="68"/>
        <v>0</v>
      </c>
      <c r="X101" s="49" t="s">
        <v>70</v>
      </c>
      <c r="Y101" s="49" t="s">
        <v>84</v>
      </c>
      <c r="Z101" s="49" t="s">
        <v>75</v>
      </c>
      <c r="AA101" s="49" t="s">
        <v>76</v>
      </c>
      <c r="AB101" s="50" t="str">
        <f>IFERROR(VLOOKUP(X101,'[1]back office'!$A$17:$B$19,2,FALSE),"-")</f>
        <v>-</v>
      </c>
      <c r="AC101" s="50">
        <f>IFERROR(VLOOKUP(Y101,'[1]back office'!$C$17:$D$19,2,FALSE),"-")</f>
        <v>5</v>
      </c>
      <c r="AD101" s="50">
        <f>IFERROR(VLOOKUP(Z101,'[1]back office'!$E$17:$F$19,2,FALSE),"-")</f>
        <v>20</v>
      </c>
      <c r="AE101" s="50">
        <f>IFERROR(VLOOKUP(AA101,'[1]back office'!$G$17:$H$19,2,FALSE),"-")</f>
        <v>0</v>
      </c>
      <c r="AF101" s="51">
        <f t="shared" si="69"/>
        <v>25</v>
      </c>
      <c r="AG101" s="49" t="s">
        <v>63</v>
      </c>
      <c r="AH101" s="51">
        <f>IFERROR(VLOOKUP(AG101,'[1]back office'!$A$23:$B$25,2,FALSE),"-")</f>
        <v>0</v>
      </c>
      <c r="AI101" s="49">
        <v>50</v>
      </c>
      <c r="AJ101" s="49">
        <v>15</v>
      </c>
      <c r="AK101" s="49">
        <f t="shared" si="70"/>
        <v>50</v>
      </c>
      <c r="AL101" s="49">
        <v>50</v>
      </c>
      <c r="AM101" s="51">
        <f t="shared" si="71"/>
        <v>100</v>
      </c>
      <c r="AN101" s="49" t="s">
        <v>200</v>
      </c>
      <c r="AO101" s="51" t="str">
        <f>IFERROR(VLOOKUP(AN101,'[1]back office'!$A$36:$B$38,2,FALSE),"-")</f>
        <v>-</v>
      </c>
    </row>
    <row r="102" spans="1:41">
      <c r="A102" s="47" t="s">
        <v>201</v>
      </c>
      <c r="B102" s="50" t="str">
        <f>IF(C102="","",IF(C102&gt;=PQCDSM!$G$4,"AA",IF(AND(C102&gt;=PQCDSM!$G$3,C102&lt;PQCDSM!$G$4),"A",IF(AND(C102&gt;=PQCDSM!$G$2,C102&lt;PQCDSM!$G$3),"B","C"))))</f>
        <v>A</v>
      </c>
      <c r="C102" s="50">
        <f t="shared" si="66"/>
        <v>216</v>
      </c>
      <c r="D102" s="49" t="s">
        <v>50</v>
      </c>
      <c r="E102" s="49" t="s">
        <v>73</v>
      </c>
      <c r="F102" s="49" t="s">
        <v>74</v>
      </c>
      <c r="G102" s="49" t="s">
        <v>53</v>
      </c>
      <c r="H102" s="49" t="s">
        <v>54</v>
      </c>
      <c r="I102" s="49" t="s">
        <v>55</v>
      </c>
      <c r="J102" s="50">
        <f>IFERROR(VLOOKUP(D102,'[1]back office'!$A$4:$B$6,2,FALSE),"-")</f>
        <v>25</v>
      </c>
      <c r="K102" s="50">
        <f>IFERROR(VLOOKUP(E102,'[1]back office'!$C$4:$D$6,2,FALSE),"-")</f>
        <v>0</v>
      </c>
      <c r="L102" s="50">
        <f>IFERROR(VLOOKUP(F102,'[1]back office'!$E$4:$F$6,2,FALSE),"-")</f>
        <v>15</v>
      </c>
      <c r="M102" s="50">
        <f>IFERROR(VLOOKUP(G102,'[1]back office'!$G$4:$H$6,2,FALSE),"-")</f>
        <v>15</v>
      </c>
      <c r="N102" s="50">
        <f>IFERROR(VLOOKUP(H102,'[1]back office'!$I$4:$J$6,2,FALSE),"-")</f>
        <v>0</v>
      </c>
      <c r="O102" s="50">
        <f>IFERROR(VLOOKUP(I102,'[1]back office'!$K$4:$L$6,2,FALSE),"-")</f>
        <v>35</v>
      </c>
      <c r="P102" s="51">
        <f t="shared" si="67"/>
        <v>90</v>
      </c>
      <c r="Q102" s="49" t="s">
        <v>54</v>
      </c>
      <c r="R102" s="49" t="s">
        <v>57</v>
      </c>
      <c r="S102" s="49" t="s">
        <v>58</v>
      </c>
      <c r="T102" s="50">
        <f>IFERROR(VLOOKUP(Q102,'[1]back office'!$A$11:$B$13,2,FALSE),"-")</f>
        <v>0</v>
      </c>
      <c r="U102" s="50">
        <f>IFERROR(VLOOKUP(R102,'[1]back office'!$C$11:$D$13,2,FALSE),"-")</f>
        <v>0</v>
      </c>
      <c r="V102" s="50" t="str">
        <f>IFERROR(VLOOKUP(S102,'[1]back office'!$E$11:$F$13,2,FALSE),"-")</f>
        <v>-</v>
      </c>
      <c r="W102" s="51">
        <f t="shared" si="68"/>
        <v>0</v>
      </c>
      <c r="X102" s="49" t="s">
        <v>70</v>
      </c>
      <c r="Y102" s="49" t="s">
        <v>84</v>
      </c>
      <c r="Z102" s="49" t="s">
        <v>75</v>
      </c>
      <c r="AA102" s="49" t="s">
        <v>76</v>
      </c>
      <c r="AB102" s="50" t="str">
        <f>IFERROR(VLOOKUP(X102,'[1]back office'!$A$17:$B$19,2,FALSE),"-")</f>
        <v>-</v>
      </c>
      <c r="AC102" s="50">
        <f>IFERROR(VLOOKUP(Y102,'[1]back office'!$C$17:$D$19,2,FALSE),"-")</f>
        <v>5</v>
      </c>
      <c r="AD102" s="50">
        <f>IFERROR(VLOOKUP(Z102,'[1]back office'!$E$17:$F$19,2,FALSE),"-")</f>
        <v>20</v>
      </c>
      <c r="AE102" s="50">
        <f>IFERROR(VLOOKUP(AA102,'[1]back office'!$G$17:$H$19,2,FALSE),"-")</f>
        <v>0</v>
      </c>
      <c r="AF102" s="51">
        <f t="shared" si="69"/>
        <v>25</v>
      </c>
      <c r="AG102" s="49" t="s">
        <v>63</v>
      </c>
      <c r="AH102" s="51">
        <f>IFERROR(VLOOKUP(AG102,'[1]back office'!$A$23:$B$25,2,FALSE),"-")</f>
        <v>0</v>
      </c>
      <c r="AI102" s="49">
        <v>50</v>
      </c>
      <c r="AJ102" s="49">
        <v>15</v>
      </c>
      <c r="AK102" s="49">
        <f t="shared" si="70"/>
        <v>50</v>
      </c>
      <c r="AL102" s="49">
        <v>51</v>
      </c>
      <c r="AM102" s="51">
        <f t="shared" si="71"/>
        <v>101</v>
      </c>
      <c r="AN102" s="49" t="s">
        <v>202</v>
      </c>
      <c r="AO102" s="51" t="str">
        <f>IFERROR(VLOOKUP(AN102,'[1]back office'!$A$36:$B$38,2,FALSE),"-")</f>
        <v>-</v>
      </c>
    </row>
    <row r="103" spans="1:41">
      <c r="A103" s="47" t="s">
        <v>203</v>
      </c>
      <c r="B103" s="50" t="str">
        <f>IF(C103="","",IF(C103&gt;=PQCDSM!$G$4,"AA",IF(AND(C103&gt;=PQCDSM!$G$3,C103&lt;PQCDSM!$G$4),"A",IF(AND(C103&gt;=PQCDSM!$G$2,C103&lt;PQCDSM!$G$3),"B","C"))))</f>
        <v>A</v>
      </c>
      <c r="C103" s="50">
        <f t="shared" si="66"/>
        <v>217</v>
      </c>
      <c r="D103" s="49" t="s">
        <v>50</v>
      </c>
      <c r="E103" s="49" t="s">
        <v>73</v>
      </c>
      <c r="F103" s="49" t="s">
        <v>74</v>
      </c>
      <c r="G103" s="49" t="s">
        <v>53</v>
      </c>
      <c r="H103" s="49" t="s">
        <v>54</v>
      </c>
      <c r="I103" s="49" t="s">
        <v>55</v>
      </c>
      <c r="J103" s="50">
        <f>IFERROR(VLOOKUP(D103,'[1]back office'!$A$4:$B$6,2,FALSE),"-")</f>
        <v>25</v>
      </c>
      <c r="K103" s="50">
        <f>IFERROR(VLOOKUP(E103,'[1]back office'!$C$4:$D$6,2,FALSE),"-")</f>
        <v>0</v>
      </c>
      <c r="L103" s="50">
        <f>IFERROR(VLOOKUP(F103,'[1]back office'!$E$4:$F$6,2,FALSE),"-")</f>
        <v>15</v>
      </c>
      <c r="M103" s="50">
        <f>IFERROR(VLOOKUP(G103,'[1]back office'!$G$4:$H$6,2,FALSE),"-")</f>
        <v>15</v>
      </c>
      <c r="N103" s="50">
        <f>IFERROR(VLOOKUP(H103,'[1]back office'!$I$4:$J$6,2,FALSE),"-")</f>
        <v>0</v>
      </c>
      <c r="O103" s="50">
        <f>IFERROR(VLOOKUP(I103,'[1]back office'!$K$4:$L$6,2,FALSE),"-")</f>
        <v>35</v>
      </c>
      <c r="P103" s="51">
        <f t="shared" si="67"/>
        <v>90</v>
      </c>
      <c r="Q103" s="49" t="s">
        <v>54</v>
      </c>
      <c r="R103" s="49" t="s">
        <v>57</v>
      </c>
      <c r="S103" s="49" t="s">
        <v>58</v>
      </c>
      <c r="T103" s="50">
        <f>IFERROR(VLOOKUP(Q103,'[1]back office'!$A$11:$B$13,2,FALSE),"-")</f>
        <v>0</v>
      </c>
      <c r="U103" s="50">
        <f>IFERROR(VLOOKUP(R103,'[1]back office'!$C$11:$D$13,2,FALSE),"-")</f>
        <v>0</v>
      </c>
      <c r="V103" s="50" t="str">
        <f>IFERROR(VLOOKUP(S103,'[1]back office'!$E$11:$F$13,2,FALSE),"-")</f>
        <v>-</v>
      </c>
      <c r="W103" s="51">
        <f t="shared" si="68"/>
        <v>0</v>
      </c>
      <c r="X103" s="49" t="s">
        <v>70</v>
      </c>
      <c r="Y103" s="49" t="s">
        <v>84</v>
      </c>
      <c r="Z103" s="49" t="s">
        <v>75</v>
      </c>
      <c r="AA103" s="49" t="s">
        <v>76</v>
      </c>
      <c r="AB103" s="50" t="str">
        <f>IFERROR(VLOOKUP(X103,'[1]back office'!$A$17:$B$19,2,FALSE),"-")</f>
        <v>-</v>
      </c>
      <c r="AC103" s="50">
        <f>IFERROR(VLOOKUP(Y103,'[1]back office'!$C$17:$D$19,2,FALSE),"-")</f>
        <v>5</v>
      </c>
      <c r="AD103" s="50">
        <f>IFERROR(VLOOKUP(Z103,'[1]back office'!$E$17:$F$19,2,FALSE),"-")</f>
        <v>20</v>
      </c>
      <c r="AE103" s="50">
        <f>IFERROR(VLOOKUP(AA103,'[1]back office'!$G$17:$H$19,2,FALSE),"-")</f>
        <v>0</v>
      </c>
      <c r="AF103" s="51">
        <f t="shared" si="69"/>
        <v>25</v>
      </c>
      <c r="AG103" s="49" t="s">
        <v>63</v>
      </c>
      <c r="AH103" s="51">
        <f>IFERROR(VLOOKUP(AG103,'[1]back office'!$A$23:$B$25,2,FALSE),"-")</f>
        <v>0</v>
      </c>
      <c r="AI103" s="49">
        <v>50</v>
      </c>
      <c r="AJ103" s="49">
        <v>15</v>
      </c>
      <c r="AK103" s="49">
        <f t="shared" si="70"/>
        <v>50</v>
      </c>
      <c r="AL103" s="49">
        <v>52</v>
      </c>
      <c r="AM103" s="51">
        <f t="shared" si="71"/>
        <v>102</v>
      </c>
      <c r="AN103" s="49" t="s">
        <v>204</v>
      </c>
      <c r="AO103" s="51" t="str">
        <f>IFERROR(VLOOKUP(AN103,'[1]back office'!$A$36:$B$38,2,FALSE),"-")</f>
        <v>-</v>
      </c>
    </row>
    <row r="104" spans="1:41">
      <c r="A104" s="47" t="s">
        <v>205</v>
      </c>
      <c r="B104" s="50" t="str">
        <f>IF(C104="","",IF(C104&gt;=PQCDSM!$G$4,"AA",IF(AND(C104&gt;=PQCDSM!$G$3,C104&lt;PQCDSM!$G$4),"A",IF(AND(C104&gt;=PQCDSM!$G$2,C104&lt;PQCDSM!$G$3),"B","C"))))</f>
        <v>A</v>
      </c>
      <c r="C104" s="50">
        <f t="shared" si="66"/>
        <v>218</v>
      </c>
      <c r="D104" s="49" t="s">
        <v>50</v>
      </c>
      <c r="E104" s="49" t="s">
        <v>73</v>
      </c>
      <c r="F104" s="49" t="s">
        <v>74</v>
      </c>
      <c r="G104" s="49" t="s">
        <v>53</v>
      </c>
      <c r="H104" s="49" t="s">
        <v>54</v>
      </c>
      <c r="I104" s="49" t="s">
        <v>55</v>
      </c>
      <c r="J104" s="50">
        <f>IFERROR(VLOOKUP(D104,'[1]back office'!$A$4:$B$6,2,FALSE),"-")</f>
        <v>25</v>
      </c>
      <c r="K104" s="50">
        <f>IFERROR(VLOOKUP(E104,'[1]back office'!$C$4:$D$6,2,FALSE),"-")</f>
        <v>0</v>
      </c>
      <c r="L104" s="50">
        <f>IFERROR(VLOOKUP(F104,'[1]back office'!$E$4:$F$6,2,FALSE),"-")</f>
        <v>15</v>
      </c>
      <c r="M104" s="50">
        <f>IFERROR(VLOOKUP(G104,'[1]back office'!$G$4:$H$6,2,FALSE),"-")</f>
        <v>15</v>
      </c>
      <c r="N104" s="50">
        <f>IFERROR(VLOOKUP(H104,'[1]back office'!$I$4:$J$6,2,FALSE),"-")</f>
        <v>0</v>
      </c>
      <c r="O104" s="50">
        <f>IFERROR(VLOOKUP(I104,'[1]back office'!$K$4:$L$6,2,FALSE),"-")</f>
        <v>35</v>
      </c>
      <c r="P104" s="51">
        <f t="shared" si="67"/>
        <v>90</v>
      </c>
      <c r="Q104" s="49" t="s">
        <v>54</v>
      </c>
      <c r="R104" s="49" t="s">
        <v>57</v>
      </c>
      <c r="S104" s="49" t="s">
        <v>58</v>
      </c>
      <c r="T104" s="50">
        <f>IFERROR(VLOOKUP(Q104,'[1]back office'!$A$11:$B$13,2,FALSE),"-")</f>
        <v>0</v>
      </c>
      <c r="U104" s="50">
        <f>IFERROR(VLOOKUP(R104,'[1]back office'!$C$11:$D$13,2,FALSE),"-")</f>
        <v>0</v>
      </c>
      <c r="V104" s="50" t="str">
        <f>IFERROR(VLOOKUP(S104,'[1]back office'!$E$11:$F$13,2,FALSE),"-")</f>
        <v>-</v>
      </c>
      <c r="W104" s="51">
        <f t="shared" si="68"/>
        <v>0</v>
      </c>
      <c r="X104" s="49" t="s">
        <v>70</v>
      </c>
      <c r="Y104" s="49" t="s">
        <v>84</v>
      </c>
      <c r="Z104" s="49" t="s">
        <v>75</v>
      </c>
      <c r="AA104" s="49" t="s">
        <v>76</v>
      </c>
      <c r="AB104" s="50" t="str">
        <f>IFERROR(VLOOKUP(X104,'[1]back office'!$A$17:$B$19,2,FALSE),"-")</f>
        <v>-</v>
      </c>
      <c r="AC104" s="50">
        <f>IFERROR(VLOOKUP(Y104,'[1]back office'!$C$17:$D$19,2,FALSE),"-")</f>
        <v>5</v>
      </c>
      <c r="AD104" s="50">
        <f>IFERROR(VLOOKUP(Z104,'[1]back office'!$E$17:$F$19,2,FALSE),"-")</f>
        <v>20</v>
      </c>
      <c r="AE104" s="50">
        <f>IFERROR(VLOOKUP(AA104,'[1]back office'!$G$17:$H$19,2,FALSE),"-")</f>
        <v>0</v>
      </c>
      <c r="AF104" s="51">
        <f t="shared" si="69"/>
        <v>25</v>
      </c>
      <c r="AG104" s="49" t="s">
        <v>63</v>
      </c>
      <c r="AH104" s="51">
        <f>IFERROR(VLOOKUP(AG104,'[1]back office'!$A$23:$B$25,2,FALSE),"-")</f>
        <v>0</v>
      </c>
      <c r="AI104" s="49">
        <v>50</v>
      </c>
      <c r="AJ104" s="49">
        <v>15</v>
      </c>
      <c r="AK104" s="49">
        <f t="shared" si="70"/>
        <v>50</v>
      </c>
      <c r="AL104" s="49">
        <v>53</v>
      </c>
      <c r="AM104" s="51">
        <f t="shared" si="71"/>
        <v>103</v>
      </c>
      <c r="AN104" s="49" t="s">
        <v>206</v>
      </c>
      <c r="AO104" s="51" t="str">
        <f>IFERROR(VLOOKUP(AN104,'[1]back office'!$A$36:$B$38,2,FALSE),"-")</f>
        <v>-</v>
      </c>
    </row>
    <row r="105" spans="1:41">
      <c r="A105" s="47" t="s">
        <v>207</v>
      </c>
      <c r="B105" s="50" t="str">
        <f>IF(C105="","",IF(C105&gt;=PQCDSM!$G$4,"AA",IF(AND(C105&gt;=PQCDSM!$G$3,C105&lt;PQCDSM!$G$4),"A",IF(AND(C105&gt;=PQCDSM!$G$2,C105&lt;PQCDSM!$G$3),"B","C"))))</f>
        <v>A</v>
      </c>
      <c r="C105" s="50">
        <f t="shared" si="66"/>
        <v>234</v>
      </c>
      <c r="D105" s="49" t="s">
        <v>50</v>
      </c>
      <c r="E105" s="49" t="s">
        <v>92</v>
      </c>
      <c r="F105" s="49" t="s">
        <v>74</v>
      </c>
      <c r="G105" s="49" t="s">
        <v>53</v>
      </c>
      <c r="H105" s="49" t="s">
        <v>54</v>
      </c>
      <c r="I105" s="49" t="s">
        <v>55</v>
      </c>
      <c r="J105" s="50">
        <f>IFERROR(VLOOKUP(D105,'[1]back office'!$A$4:$B$6,2,FALSE),"-")</f>
        <v>25</v>
      </c>
      <c r="K105" s="50">
        <f>IFERROR(VLOOKUP(E105,'[1]back office'!$C$4:$D$6,2,FALSE),"-")</f>
        <v>15</v>
      </c>
      <c r="L105" s="50">
        <f>IFERROR(VLOOKUP(F105,'[1]back office'!$E$4:$F$6,2,FALSE),"-")</f>
        <v>15</v>
      </c>
      <c r="M105" s="50">
        <f>IFERROR(VLOOKUP(G105,'[1]back office'!$G$4:$H$6,2,FALSE),"-")</f>
        <v>15</v>
      </c>
      <c r="N105" s="50">
        <f>IFERROR(VLOOKUP(H105,'[1]back office'!$I$4:$J$6,2,FALSE),"-")</f>
        <v>0</v>
      </c>
      <c r="O105" s="50">
        <f>IFERROR(VLOOKUP(I105,'[1]back office'!$K$4:$L$6,2,FALSE),"-")</f>
        <v>35</v>
      </c>
      <c r="P105" s="51">
        <f t="shared" si="67"/>
        <v>105</v>
      </c>
      <c r="Q105" s="49" t="s">
        <v>54</v>
      </c>
      <c r="R105" s="49" t="s">
        <v>57</v>
      </c>
      <c r="S105" s="49" t="s">
        <v>58</v>
      </c>
      <c r="T105" s="50">
        <f>IFERROR(VLOOKUP(Q105,'[1]back office'!$A$11:$B$13,2,FALSE),"-")</f>
        <v>0</v>
      </c>
      <c r="U105" s="50">
        <f>IFERROR(VLOOKUP(R105,'[1]back office'!$C$11:$D$13,2,FALSE),"-")</f>
        <v>0</v>
      </c>
      <c r="V105" s="50" t="str">
        <f>IFERROR(VLOOKUP(S105,'[1]back office'!$E$11:$F$13,2,FALSE),"-")</f>
        <v>-</v>
      </c>
      <c r="W105" s="51">
        <f t="shared" si="68"/>
        <v>0</v>
      </c>
      <c r="X105" s="49" t="s">
        <v>70</v>
      </c>
      <c r="Y105" s="49" t="s">
        <v>84</v>
      </c>
      <c r="Z105" s="49" t="s">
        <v>75</v>
      </c>
      <c r="AA105" s="49" t="s">
        <v>76</v>
      </c>
      <c r="AB105" s="50" t="str">
        <f>IFERROR(VLOOKUP(X105,'[1]back office'!$A$17:$B$19,2,FALSE),"-")</f>
        <v>-</v>
      </c>
      <c r="AC105" s="50">
        <f>IFERROR(VLOOKUP(Y105,'[1]back office'!$C$17:$D$19,2,FALSE),"-")</f>
        <v>5</v>
      </c>
      <c r="AD105" s="50">
        <f>IFERROR(VLOOKUP(Z105,'[1]back office'!$E$17:$F$19,2,FALSE),"-")</f>
        <v>20</v>
      </c>
      <c r="AE105" s="50">
        <f>IFERROR(VLOOKUP(AA105,'[1]back office'!$G$17:$H$19,2,FALSE),"-")</f>
        <v>0</v>
      </c>
      <c r="AF105" s="51">
        <f t="shared" si="69"/>
        <v>25</v>
      </c>
      <c r="AG105" s="49" t="s">
        <v>63</v>
      </c>
      <c r="AH105" s="51">
        <f>IFERROR(VLOOKUP(AG105,'[1]back office'!$A$23:$B$25,2,FALSE),"-")</f>
        <v>0</v>
      </c>
      <c r="AI105" s="49">
        <v>50</v>
      </c>
      <c r="AJ105" s="49">
        <v>15</v>
      </c>
      <c r="AK105" s="49">
        <f t="shared" si="70"/>
        <v>50</v>
      </c>
      <c r="AL105" s="49">
        <v>54</v>
      </c>
      <c r="AM105" s="51">
        <f t="shared" si="71"/>
        <v>104</v>
      </c>
      <c r="AN105" s="49" t="s">
        <v>208</v>
      </c>
      <c r="AO105" s="51" t="str">
        <f>IFERROR(VLOOKUP(AN105,'[1]back office'!$A$36:$B$38,2,FALSE),"-")</f>
        <v>-</v>
      </c>
    </row>
    <row r="106" spans="1:41">
      <c r="A106" s="47" t="s">
        <v>209</v>
      </c>
      <c r="B106" s="50" t="str">
        <f>IF(C106="","",IF(C106&gt;=PQCDSM!$G$4,"AA",IF(AND(C106&gt;=PQCDSM!$G$3,C106&lt;PQCDSM!$G$4),"A",IF(AND(C106&gt;=PQCDSM!$G$2,C106&lt;PQCDSM!$G$3),"B","C"))))</f>
        <v>A</v>
      </c>
      <c r="C106" s="50">
        <f t="shared" si="66"/>
        <v>220</v>
      </c>
      <c r="D106" s="49" t="s">
        <v>50</v>
      </c>
      <c r="E106" s="49" t="s">
        <v>73</v>
      </c>
      <c r="F106" s="49" t="s">
        <v>74</v>
      </c>
      <c r="G106" s="49" t="s">
        <v>53</v>
      </c>
      <c r="H106" s="49" t="s">
        <v>54</v>
      </c>
      <c r="I106" s="49" t="s">
        <v>55</v>
      </c>
      <c r="J106" s="50">
        <f>IFERROR(VLOOKUP(D106,'[1]back office'!$A$4:$B$6,2,FALSE),"-")</f>
        <v>25</v>
      </c>
      <c r="K106" s="50">
        <f>IFERROR(VLOOKUP(E106,'[1]back office'!$C$4:$D$6,2,FALSE),"-")</f>
        <v>0</v>
      </c>
      <c r="L106" s="50">
        <f>IFERROR(VLOOKUP(F106,'[1]back office'!$E$4:$F$6,2,FALSE),"-")</f>
        <v>15</v>
      </c>
      <c r="M106" s="50">
        <f>IFERROR(VLOOKUP(G106,'[1]back office'!$G$4:$H$6,2,FALSE),"-")</f>
        <v>15</v>
      </c>
      <c r="N106" s="50">
        <f>IFERROR(VLOOKUP(H106,'[1]back office'!$I$4:$J$6,2,FALSE),"-")</f>
        <v>0</v>
      </c>
      <c r="O106" s="50">
        <f>IFERROR(VLOOKUP(I106,'[1]back office'!$K$4:$L$6,2,FALSE),"-")</f>
        <v>35</v>
      </c>
      <c r="P106" s="51">
        <f t="shared" si="67"/>
        <v>90</v>
      </c>
      <c r="Q106" s="49" t="s">
        <v>54</v>
      </c>
      <c r="R106" s="49" t="s">
        <v>57</v>
      </c>
      <c r="S106" s="49" t="s">
        <v>58</v>
      </c>
      <c r="T106" s="50">
        <f>IFERROR(VLOOKUP(Q106,'[1]back office'!$A$11:$B$13,2,FALSE),"-")</f>
        <v>0</v>
      </c>
      <c r="U106" s="50">
        <f>IFERROR(VLOOKUP(R106,'[1]back office'!$C$11:$D$13,2,FALSE),"-")</f>
        <v>0</v>
      </c>
      <c r="V106" s="50" t="str">
        <f>IFERROR(VLOOKUP(S106,'[1]back office'!$E$11:$F$13,2,FALSE),"-")</f>
        <v>-</v>
      </c>
      <c r="W106" s="51">
        <f t="shared" si="68"/>
        <v>0</v>
      </c>
      <c r="X106" s="49" t="s">
        <v>70</v>
      </c>
      <c r="Y106" s="49" t="s">
        <v>84</v>
      </c>
      <c r="Z106" s="49" t="s">
        <v>75</v>
      </c>
      <c r="AA106" s="49" t="s">
        <v>76</v>
      </c>
      <c r="AB106" s="50" t="str">
        <f>IFERROR(VLOOKUP(X106,'[1]back office'!$A$17:$B$19,2,FALSE),"-")</f>
        <v>-</v>
      </c>
      <c r="AC106" s="50">
        <f>IFERROR(VLOOKUP(Y106,'[1]back office'!$C$17:$D$19,2,FALSE),"-")</f>
        <v>5</v>
      </c>
      <c r="AD106" s="50">
        <f>IFERROR(VLOOKUP(Z106,'[1]back office'!$E$17:$F$19,2,FALSE),"-")</f>
        <v>20</v>
      </c>
      <c r="AE106" s="50">
        <f>IFERROR(VLOOKUP(AA106,'[1]back office'!$G$17:$H$19,2,FALSE),"-")</f>
        <v>0</v>
      </c>
      <c r="AF106" s="51">
        <f t="shared" si="69"/>
        <v>25</v>
      </c>
      <c r="AG106" s="49" t="s">
        <v>63</v>
      </c>
      <c r="AH106" s="51">
        <f>IFERROR(VLOOKUP(AG106,'[1]back office'!$A$23:$B$25,2,FALSE),"-")</f>
        <v>0</v>
      </c>
      <c r="AI106" s="49">
        <v>50</v>
      </c>
      <c r="AJ106" s="49">
        <v>15</v>
      </c>
      <c r="AK106" s="49">
        <f t="shared" si="70"/>
        <v>50</v>
      </c>
      <c r="AL106" s="49">
        <v>55</v>
      </c>
      <c r="AM106" s="51">
        <f t="shared" si="71"/>
        <v>105</v>
      </c>
      <c r="AN106" s="49" t="s">
        <v>210</v>
      </c>
      <c r="AO106" s="51" t="str">
        <f>IFERROR(VLOOKUP(AN106,'[1]back office'!$A$36:$B$38,2,FALSE),"-")</f>
        <v>-</v>
      </c>
    </row>
    <row r="107" spans="1:41">
      <c r="A107" s="47" t="s">
        <v>211</v>
      </c>
      <c r="B107" s="50" t="str">
        <f>IF(C107="","",IF(C107&gt;=PQCDSM!$G$4,"AA",IF(AND(C107&gt;=PQCDSM!$G$3,C107&lt;PQCDSM!$G$4),"A",IF(AND(C107&gt;=PQCDSM!$G$2,C107&lt;PQCDSM!$G$3),"B","C"))))</f>
        <v>A</v>
      </c>
      <c r="C107" s="50">
        <f t="shared" si="66"/>
        <v>236</v>
      </c>
      <c r="D107" s="49" t="s">
        <v>50</v>
      </c>
      <c r="E107" s="49" t="s">
        <v>92</v>
      </c>
      <c r="F107" s="49" t="s">
        <v>74</v>
      </c>
      <c r="G107" s="49" t="s">
        <v>53</v>
      </c>
      <c r="H107" s="49" t="s">
        <v>54</v>
      </c>
      <c r="I107" s="49" t="s">
        <v>55</v>
      </c>
      <c r="J107" s="50">
        <f>IFERROR(VLOOKUP(D107,'[1]back office'!$A$4:$B$6,2,FALSE),"-")</f>
        <v>25</v>
      </c>
      <c r="K107" s="50">
        <f>IFERROR(VLOOKUP(E107,'[1]back office'!$C$4:$D$6,2,FALSE),"-")</f>
        <v>15</v>
      </c>
      <c r="L107" s="50">
        <f>IFERROR(VLOOKUP(F107,'[1]back office'!$E$4:$F$6,2,FALSE),"-")</f>
        <v>15</v>
      </c>
      <c r="M107" s="50">
        <f>IFERROR(VLOOKUP(G107,'[1]back office'!$G$4:$H$6,2,FALSE),"-")</f>
        <v>15</v>
      </c>
      <c r="N107" s="50">
        <f>IFERROR(VLOOKUP(H107,'[1]back office'!$I$4:$J$6,2,FALSE),"-")</f>
        <v>0</v>
      </c>
      <c r="O107" s="50">
        <f>IFERROR(VLOOKUP(I107,'[1]back office'!$K$4:$L$6,2,FALSE),"-")</f>
        <v>35</v>
      </c>
      <c r="P107" s="51">
        <f t="shared" si="67"/>
        <v>105</v>
      </c>
      <c r="Q107" s="49" t="s">
        <v>54</v>
      </c>
      <c r="R107" s="49" t="s">
        <v>57</v>
      </c>
      <c r="S107" s="49" t="s">
        <v>58</v>
      </c>
      <c r="T107" s="50">
        <f>IFERROR(VLOOKUP(Q107,'[1]back office'!$A$11:$B$13,2,FALSE),"-")</f>
        <v>0</v>
      </c>
      <c r="U107" s="50">
        <f>IFERROR(VLOOKUP(R107,'[1]back office'!$C$11:$D$13,2,FALSE),"-")</f>
        <v>0</v>
      </c>
      <c r="V107" s="50" t="str">
        <f>IFERROR(VLOOKUP(S107,'[1]back office'!$E$11:$F$13,2,FALSE),"-")</f>
        <v>-</v>
      </c>
      <c r="W107" s="51">
        <f t="shared" si="68"/>
        <v>0</v>
      </c>
      <c r="X107" s="49" t="s">
        <v>70</v>
      </c>
      <c r="Y107" s="49" t="s">
        <v>84</v>
      </c>
      <c r="Z107" s="49" t="s">
        <v>75</v>
      </c>
      <c r="AA107" s="49" t="s">
        <v>76</v>
      </c>
      <c r="AB107" s="50" t="str">
        <f>IFERROR(VLOOKUP(X107,'[1]back office'!$A$17:$B$19,2,FALSE),"-")</f>
        <v>-</v>
      </c>
      <c r="AC107" s="50">
        <f>IFERROR(VLOOKUP(Y107,'[1]back office'!$C$17:$D$19,2,FALSE),"-")</f>
        <v>5</v>
      </c>
      <c r="AD107" s="50">
        <f>IFERROR(VLOOKUP(Z107,'[1]back office'!$E$17:$F$19,2,FALSE),"-")</f>
        <v>20</v>
      </c>
      <c r="AE107" s="50">
        <f>IFERROR(VLOOKUP(AA107,'[1]back office'!$G$17:$H$19,2,FALSE),"-")</f>
        <v>0</v>
      </c>
      <c r="AF107" s="51">
        <f t="shared" si="69"/>
        <v>25</v>
      </c>
      <c r="AG107" s="49" t="s">
        <v>63</v>
      </c>
      <c r="AH107" s="51">
        <f>IFERROR(VLOOKUP(AG107,'[1]back office'!$A$23:$B$25,2,FALSE),"-")</f>
        <v>0</v>
      </c>
      <c r="AI107" s="49">
        <v>50</v>
      </c>
      <c r="AJ107" s="49">
        <v>15</v>
      </c>
      <c r="AK107" s="49">
        <f t="shared" si="70"/>
        <v>50</v>
      </c>
      <c r="AL107" s="49">
        <v>56</v>
      </c>
      <c r="AM107" s="51">
        <f t="shared" si="71"/>
        <v>106</v>
      </c>
      <c r="AN107" s="49" t="s">
        <v>212</v>
      </c>
      <c r="AO107" s="51" t="str">
        <f>IFERROR(VLOOKUP(AN107,'[1]back office'!$A$36:$B$38,2,FALSE),"-")</f>
        <v>-</v>
      </c>
    </row>
    <row r="108" spans="1:41">
      <c r="A108" s="47" t="s">
        <v>213</v>
      </c>
      <c r="B108" s="50" t="str">
        <f>IF(C108="","",IF(C108&gt;=PQCDSM!$G$4,"AA",IF(AND(C108&gt;=PQCDSM!$G$3,C108&lt;PQCDSM!$G$4),"A",IF(AND(C108&gt;=PQCDSM!$G$2,C108&lt;PQCDSM!$G$3),"B","C"))))</f>
        <v>A</v>
      </c>
      <c r="C108" s="50">
        <f t="shared" si="66"/>
        <v>222</v>
      </c>
      <c r="D108" s="49" t="s">
        <v>50</v>
      </c>
      <c r="E108" s="49" t="s">
        <v>73</v>
      </c>
      <c r="F108" s="49" t="s">
        <v>74</v>
      </c>
      <c r="G108" s="49" t="s">
        <v>53</v>
      </c>
      <c r="H108" s="49" t="s">
        <v>54</v>
      </c>
      <c r="I108" s="49" t="s">
        <v>55</v>
      </c>
      <c r="J108" s="50">
        <f>IFERROR(VLOOKUP(D108,'[1]back office'!$A$4:$B$6,2,FALSE),"-")</f>
        <v>25</v>
      </c>
      <c r="K108" s="50">
        <f>IFERROR(VLOOKUP(E108,'[1]back office'!$C$4:$D$6,2,FALSE),"-")</f>
        <v>0</v>
      </c>
      <c r="L108" s="50">
        <f>IFERROR(VLOOKUP(F108,'[1]back office'!$E$4:$F$6,2,FALSE),"-")</f>
        <v>15</v>
      </c>
      <c r="M108" s="50">
        <f>IFERROR(VLOOKUP(G108,'[1]back office'!$G$4:$H$6,2,FALSE),"-")</f>
        <v>15</v>
      </c>
      <c r="N108" s="50">
        <f>IFERROR(VLOOKUP(H108,'[1]back office'!$I$4:$J$6,2,FALSE),"-")</f>
        <v>0</v>
      </c>
      <c r="O108" s="50">
        <f>IFERROR(VLOOKUP(I108,'[1]back office'!$K$4:$L$6,2,FALSE),"-")</f>
        <v>35</v>
      </c>
      <c r="P108" s="51">
        <f t="shared" si="67"/>
        <v>90</v>
      </c>
      <c r="Q108" s="49" t="s">
        <v>54</v>
      </c>
      <c r="R108" s="49" t="s">
        <v>57</v>
      </c>
      <c r="S108" s="49" t="s">
        <v>58</v>
      </c>
      <c r="T108" s="50">
        <f>IFERROR(VLOOKUP(Q108,'[1]back office'!$A$11:$B$13,2,FALSE),"-")</f>
        <v>0</v>
      </c>
      <c r="U108" s="50">
        <f>IFERROR(VLOOKUP(R108,'[1]back office'!$C$11:$D$13,2,FALSE),"-")</f>
        <v>0</v>
      </c>
      <c r="V108" s="50" t="str">
        <f>IFERROR(VLOOKUP(S108,'[1]back office'!$E$11:$F$13,2,FALSE),"-")</f>
        <v>-</v>
      </c>
      <c r="W108" s="51">
        <f t="shared" si="68"/>
        <v>0</v>
      </c>
      <c r="X108" s="49" t="s">
        <v>70</v>
      </c>
      <c r="Y108" s="49" t="s">
        <v>84</v>
      </c>
      <c r="Z108" s="49" t="s">
        <v>75</v>
      </c>
      <c r="AA108" s="49" t="s">
        <v>76</v>
      </c>
      <c r="AB108" s="50" t="str">
        <f>IFERROR(VLOOKUP(X108,'[1]back office'!$A$17:$B$19,2,FALSE),"-")</f>
        <v>-</v>
      </c>
      <c r="AC108" s="50">
        <f>IFERROR(VLOOKUP(Y108,'[1]back office'!$C$17:$D$19,2,FALSE),"-")</f>
        <v>5</v>
      </c>
      <c r="AD108" s="50">
        <f>IFERROR(VLOOKUP(Z108,'[1]back office'!$E$17:$F$19,2,FALSE),"-")</f>
        <v>20</v>
      </c>
      <c r="AE108" s="50">
        <f>IFERROR(VLOOKUP(AA108,'[1]back office'!$G$17:$H$19,2,FALSE),"-")</f>
        <v>0</v>
      </c>
      <c r="AF108" s="51">
        <f t="shared" si="69"/>
        <v>25</v>
      </c>
      <c r="AG108" s="49" t="s">
        <v>63</v>
      </c>
      <c r="AH108" s="51">
        <f>IFERROR(VLOOKUP(AG108,'[1]back office'!$A$23:$B$25,2,FALSE),"-")</f>
        <v>0</v>
      </c>
      <c r="AI108" s="49">
        <v>50</v>
      </c>
      <c r="AJ108" s="49">
        <v>15</v>
      </c>
      <c r="AK108" s="49">
        <f t="shared" si="70"/>
        <v>50</v>
      </c>
      <c r="AL108" s="49">
        <v>57</v>
      </c>
      <c r="AM108" s="51">
        <f t="shared" si="71"/>
        <v>107</v>
      </c>
      <c r="AN108" s="49" t="s">
        <v>214</v>
      </c>
      <c r="AO108" s="51" t="str">
        <f>IFERROR(VLOOKUP(AN108,'[1]back office'!$A$36:$B$38,2,FALSE),"-")</f>
        <v>-</v>
      </c>
    </row>
    <row r="109" spans="1:41">
      <c r="A109" s="47" t="s">
        <v>215</v>
      </c>
      <c r="B109" s="50" t="str">
        <f>IF(C109="","",IF(C109&gt;=PQCDSM!$G$4,"AA",IF(AND(C109&gt;=PQCDSM!$G$3,C109&lt;PQCDSM!$G$4),"A",IF(AND(C109&gt;=PQCDSM!$G$2,C109&lt;PQCDSM!$G$3),"B","C"))))</f>
        <v>A</v>
      </c>
      <c r="C109" s="50">
        <f t="shared" si="66"/>
        <v>238</v>
      </c>
      <c r="D109" s="49" t="s">
        <v>50</v>
      </c>
      <c r="E109" s="49" t="s">
        <v>92</v>
      </c>
      <c r="F109" s="49" t="s">
        <v>74</v>
      </c>
      <c r="G109" s="49" t="s">
        <v>53</v>
      </c>
      <c r="H109" s="49" t="s">
        <v>54</v>
      </c>
      <c r="I109" s="49" t="s">
        <v>55</v>
      </c>
      <c r="J109" s="50">
        <f>IFERROR(VLOOKUP(D109,'[1]back office'!$A$4:$B$6,2,FALSE),"-")</f>
        <v>25</v>
      </c>
      <c r="K109" s="50">
        <f>IFERROR(VLOOKUP(E109,'[1]back office'!$C$4:$D$6,2,FALSE),"-")</f>
        <v>15</v>
      </c>
      <c r="L109" s="50">
        <f>IFERROR(VLOOKUP(F109,'[1]back office'!$E$4:$F$6,2,FALSE),"-")</f>
        <v>15</v>
      </c>
      <c r="M109" s="50">
        <f>IFERROR(VLOOKUP(G109,'[1]back office'!$G$4:$H$6,2,FALSE),"-")</f>
        <v>15</v>
      </c>
      <c r="N109" s="50">
        <f>IFERROR(VLOOKUP(H109,'[1]back office'!$I$4:$J$6,2,FALSE),"-")</f>
        <v>0</v>
      </c>
      <c r="O109" s="50">
        <f>IFERROR(VLOOKUP(I109,'[1]back office'!$K$4:$L$6,2,FALSE),"-")</f>
        <v>35</v>
      </c>
      <c r="P109" s="51">
        <f t="shared" si="67"/>
        <v>105</v>
      </c>
      <c r="Q109" s="49" t="s">
        <v>54</v>
      </c>
      <c r="R109" s="49" t="s">
        <v>57</v>
      </c>
      <c r="S109" s="49" t="s">
        <v>58</v>
      </c>
      <c r="T109" s="50">
        <f>IFERROR(VLOOKUP(Q109,'[1]back office'!$A$11:$B$13,2,FALSE),"-")</f>
        <v>0</v>
      </c>
      <c r="U109" s="50">
        <f>IFERROR(VLOOKUP(R109,'[1]back office'!$C$11:$D$13,2,FALSE),"-")</f>
        <v>0</v>
      </c>
      <c r="V109" s="50" t="str">
        <f>IFERROR(VLOOKUP(S109,'[1]back office'!$E$11:$F$13,2,FALSE),"-")</f>
        <v>-</v>
      </c>
      <c r="W109" s="51">
        <f t="shared" si="68"/>
        <v>0</v>
      </c>
      <c r="X109" s="49" t="s">
        <v>70</v>
      </c>
      <c r="Y109" s="49" t="s">
        <v>84</v>
      </c>
      <c r="Z109" s="49" t="s">
        <v>75</v>
      </c>
      <c r="AA109" s="49" t="s">
        <v>76</v>
      </c>
      <c r="AB109" s="50" t="str">
        <f>IFERROR(VLOOKUP(X109,'[1]back office'!$A$17:$B$19,2,FALSE),"-")</f>
        <v>-</v>
      </c>
      <c r="AC109" s="50">
        <f>IFERROR(VLOOKUP(Y109,'[1]back office'!$C$17:$D$19,2,FALSE),"-")</f>
        <v>5</v>
      </c>
      <c r="AD109" s="50">
        <f>IFERROR(VLOOKUP(Z109,'[1]back office'!$E$17:$F$19,2,FALSE),"-")</f>
        <v>20</v>
      </c>
      <c r="AE109" s="50">
        <f>IFERROR(VLOOKUP(AA109,'[1]back office'!$G$17:$H$19,2,FALSE),"-")</f>
        <v>0</v>
      </c>
      <c r="AF109" s="51">
        <f t="shared" si="69"/>
        <v>25</v>
      </c>
      <c r="AG109" s="49" t="s">
        <v>63</v>
      </c>
      <c r="AH109" s="51">
        <f>IFERROR(VLOOKUP(AG109,'[1]back office'!$A$23:$B$25,2,FALSE),"-")</f>
        <v>0</v>
      </c>
      <c r="AI109" s="49">
        <v>50</v>
      </c>
      <c r="AJ109" s="49">
        <v>15</v>
      </c>
      <c r="AK109" s="49">
        <f t="shared" si="70"/>
        <v>50</v>
      </c>
      <c r="AL109" s="49">
        <v>58</v>
      </c>
      <c r="AM109" s="51">
        <f t="shared" si="71"/>
        <v>108</v>
      </c>
      <c r="AN109" s="49" t="s">
        <v>216</v>
      </c>
      <c r="AO109" s="51" t="str">
        <f>IFERROR(VLOOKUP(AN109,'[1]back office'!$A$36:$B$38,2,FALSE),"-")</f>
        <v>-</v>
      </c>
    </row>
    <row r="110" spans="1:41">
      <c r="A110" s="47" t="s">
        <v>217</v>
      </c>
      <c r="B110" s="50" t="str">
        <f>IF(C110="","",IF(C110&gt;=PQCDSM!$G$4,"AA",IF(AND(C110&gt;=PQCDSM!$G$3,C110&lt;PQCDSM!$G$4),"A",IF(AND(C110&gt;=PQCDSM!$G$2,C110&lt;PQCDSM!$G$3),"B","C"))))</f>
        <v>A</v>
      </c>
      <c r="C110" s="50">
        <f t="shared" si="66"/>
        <v>224</v>
      </c>
      <c r="D110" s="49" t="s">
        <v>50</v>
      </c>
      <c r="E110" s="49" t="s">
        <v>73</v>
      </c>
      <c r="F110" s="49" t="s">
        <v>74</v>
      </c>
      <c r="G110" s="49" t="s">
        <v>53</v>
      </c>
      <c r="H110" s="49" t="s">
        <v>54</v>
      </c>
      <c r="I110" s="49" t="s">
        <v>55</v>
      </c>
      <c r="J110" s="50">
        <f>IFERROR(VLOOKUP(D110,'[1]back office'!$A$4:$B$6,2,FALSE),"-")</f>
        <v>25</v>
      </c>
      <c r="K110" s="50">
        <f>IFERROR(VLOOKUP(E110,'[1]back office'!$C$4:$D$6,2,FALSE),"-")</f>
        <v>0</v>
      </c>
      <c r="L110" s="50">
        <f>IFERROR(VLOOKUP(F110,'[1]back office'!$E$4:$F$6,2,FALSE),"-")</f>
        <v>15</v>
      </c>
      <c r="M110" s="50">
        <f>IFERROR(VLOOKUP(G110,'[1]back office'!$G$4:$H$6,2,FALSE),"-")</f>
        <v>15</v>
      </c>
      <c r="N110" s="50">
        <f>IFERROR(VLOOKUP(H110,'[1]back office'!$I$4:$J$6,2,FALSE),"-")</f>
        <v>0</v>
      </c>
      <c r="O110" s="50">
        <f>IFERROR(VLOOKUP(I110,'[1]back office'!$K$4:$L$6,2,FALSE),"-")</f>
        <v>35</v>
      </c>
      <c r="P110" s="51">
        <f t="shared" si="67"/>
        <v>90</v>
      </c>
      <c r="Q110" s="49" t="s">
        <v>54</v>
      </c>
      <c r="R110" s="49" t="s">
        <v>57</v>
      </c>
      <c r="S110" s="49" t="s">
        <v>58</v>
      </c>
      <c r="T110" s="50">
        <f>IFERROR(VLOOKUP(Q110,'[1]back office'!$A$11:$B$13,2,FALSE),"-")</f>
        <v>0</v>
      </c>
      <c r="U110" s="50">
        <f>IFERROR(VLOOKUP(R110,'[1]back office'!$C$11:$D$13,2,FALSE),"-")</f>
        <v>0</v>
      </c>
      <c r="V110" s="50" t="str">
        <f>IFERROR(VLOOKUP(S110,'[1]back office'!$E$11:$F$13,2,FALSE),"-")</f>
        <v>-</v>
      </c>
      <c r="W110" s="51">
        <f t="shared" si="68"/>
        <v>0</v>
      </c>
      <c r="X110" s="49" t="s">
        <v>70</v>
      </c>
      <c r="Y110" s="49" t="s">
        <v>84</v>
      </c>
      <c r="Z110" s="49" t="s">
        <v>75</v>
      </c>
      <c r="AA110" s="49" t="s">
        <v>76</v>
      </c>
      <c r="AB110" s="50" t="str">
        <f>IFERROR(VLOOKUP(X110,'[1]back office'!$A$17:$B$19,2,FALSE),"-")</f>
        <v>-</v>
      </c>
      <c r="AC110" s="50">
        <f>IFERROR(VLOOKUP(Y110,'[1]back office'!$C$17:$D$19,2,FALSE),"-")</f>
        <v>5</v>
      </c>
      <c r="AD110" s="50">
        <f>IFERROR(VLOOKUP(Z110,'[1]back office'!$E$17:$F$19,2,FALSE),"-")</f>
        <v>20</v>
      </c>
      <c r="AE110" s="50">
        <f>IFERROR(VLOOKUP(AA110,'[1]back office'!$G$17:$H$19,2,FALSE),"-")</f>
        <v>0</v>
      </c>
      <c r="AF110" s="51">
        <f t="shared" si="69"/>
        <v>25</v>
      </c>
      <c r="AG110" s="49" t="s">
        <v>63</v>
      </c>
      <c r="AH110" s="51">
        <f>IFERROR(VLOOKUP(AG110,'[1]back office'!$A$23:$B$25,2,FALSE),"-")</f>
        <v>0</v>
      </c>
      <c r="AI110" s="49">
        <v>50</v>
      </c>
      <c r="AJ110" s="49">
        <v>15</v>
      </c>
      <c r="AK110" s="49">
        <f t="shared" si="70"/>
        <v>50</v>
      </c>
      <c r="AL110" s="49">
        <v>59</v>
      </c>
      <c r="AM110" s="51">
        <f t="shared" si="71"/>
        <v>109</v>
      </c>
      <c r="AN110" s="49" t="s">
        <v>218</v>
      </c>
      <c r="AO110" s="51" t="str">
        <f>IFERROR(VLOOKUP(AN110,'[1]back office'!$A$36:$B$38,2,FALSE),"-")</f>
        <v>-</v>
      </c>
    </row>
    <row r="111" spans="1:41">
      <c r="A111" s="47" t="s">
        <v>219</v>
      </c>
      <c r="B111" s="50" t="str">
        <f>IF(C111="","",IF(C111&gt;=PQCDSM!$G$4,"AA",IF(AND(C111&gt;=PQCDSM!$G$3,C111&lt;PQCDSM!$G$4),"A",IF(AND(C111&gt;=PQCDSM!$G$2,C111&lt;PQCDSM!$G$3),"B","C"))))</f>
        <v>A</v>
      </c>
      <c r="C111" s="50">
        <f t="shared" si="66"/>
        <v>240</v>
      </c>
      <c r="D111" s="49" t="s">
        <v>50</v>
      </c>
      <c r="E111" s="49" t="s">
        <v>92</v>
      </c>
      <c r="F111" s="49" t="s">
        <v>74</v>
      </c>
      <c r="G111" s="49" t="s">
        <v>53</v>
      </c>
      <c r="H111" s="49" t="s">
        <v>54</v>
      </c>
      <c r="I111" s="49" t="s">
        <v>55</v>
      </c>
      <c r="J111" s="50">
        <f>IFERROR(VLOOKUP(D111,'[1]back office'!$A$4:$B$6,2,FALSE),"-")</f>
        <v>25</v>
      </c>
      <c r="K111" s="50">
        <f>IFERROR(VLOOKUP(E111,'[1]back office'!$C$4:$D$6,2,FALSE),"-")</f>
        <v>15</v>
      </c>
      <c r="L111" s="50">
        <f>IFERROR(VLOOKUP(F111,'[1]back office'!$E$4:$F$6,2,FALSE),"-")</f>
        <v>15</v>
      </c>
      <c r="M111" s="50">
        <f>IFERROR(VLOOKUP(G111,'[1]back office'!$G$4:$H$6,2,FALSE),"-")</f>
        <v>15</v>
      </c>
      <c r="N111" s="50">
        <f>IFERROR(VLOOKUP(H111,'[1]back office'!$I$4:$J$6,2,FALSE),"-")</f>
        <v>0</v>
      </c>
      <c r="O111" s="50">
        <f>IFERROR(VLOOKUP(I111,'[1]back office'!$K$4:$L$6,2,FALSE),"-")</f>
        <v>35</v>
      </c>
      <c r="P111" s="51">
        <f t="shared" si="67"/>
        <v>105</v>
      </c>
      <c r="Q111" s="49" t="s">
        <v>54</v>
      </c>
      <c r="R111" s="49" t="s">
        <v>57</v>
      </c>
      <c r="S111" s="49" t="s">
        <v>58</v>
      </c>
      <c r="T111" s="50">
        <f>IFERROR(VLOOKUP(Q111,'[1]back office'!$A$11:$B$13,2,FALSE),"-")</f>
        <v>0</v>
      </c>
      <c r="U111" s="50">
        <f>IFERROR(VLOOKUP(R111,'[1]back office'!$C$11:$D$13,2,FALSE),"-")</f>
        <v>0</v>
      </c>
      <c r="V111" s="50" t="str">
        <f>IFERROR(VLOOKUP(S111,'[1]back office'!$E$11:$F$13,2,FALSE),"-")</f>
        <v>-</v>
      </c>
      <c r="W111" s="51">
        <f t="shared" si="68"/>
        <v>0</v>
      </c>
      <c r="X111" s="49" t="s">
        <v>70</v>
      </c>
      <c r="Y111" s="49" t="s">
        <v>84</v>
      </c>
      <c r="Z111" s="49" t="s">
        <v>75</v>
      </c>
      <c r="AA111" s="49" t="s">
        <v>76</v>
      </c>
      <c r="AB111" s="50" t="str">
        <f>IFERROR(VLOOKUP(X111,'[1]back office'!$A$17:$B$19,2,FALSE),"-")</f>
        <v>-</v>
      </c>
      <c r="AC111" s="50">
        <f>IFERROR(VLOOKUP(Y111,'[1]back office'!$C$17:$D$19,2,FALSE),"-")</f>
        <v>5</v>
      </c>
      <c r="AD111" s="50">
        <f>IFERROR(VLOOKUP(Z111,'[1]back office'!$E$17:$F$19,2,FALSE),"-")</f>
        <v>20</v>
      </c>
      <c r="AE111" s="50">
        <f>IFERROR(VLOOKUP(AA111,'[1]back office'!$G$17:$H$19,2,FALSE),"-")</f>
        <v>0</v>
      </c>
      <c r="AF111" s="51">
        <f t="shared" si="69"/>
        <v>25</v>
      </c>
      <c r="AG111" s="49" t="s">
        <v>63</v>
      </c>
      <c r="AH111" s="51">
        <f>IFERROR(VLOOKUP(AG111,'[1]back office'!$A$23:$B$25,2,FALSE),"-")</f>
        <v>0</v>
      </c>
      <c r="AI111" s="49">
        <v>50</v>
      </c>
      <c r="AJ111" s="49">
        <v>15</v>
      </c>
      <c r="AK111" s="49">
        <f t="shared" si="70"/>
        <v>50</v>
      </c>
      <c r="AL111" s="49">
        <v>60</v>
      </c>
      <c r="AM111" s="51">
        <f t="shared" si="71"/>
        <v>110</v>
      </c>
      <c r="AN111" s="49" t="s">
        <v>220</v>
      </c>
      <c r="AO111" s="51" t="str">
        <f>IFERROR(VLOOKUP(AN111,'[1]back office'!$A$36:$B$38,2,FALSE),"-")</f>
        <v>-</v>
      </c>
    </row>
    <row r="112" spans="1:41">
      <c r="A112" s="47" t="s">
        <v>221</v>
      </c>
      <c r="B112" s="50" t="str">
        <f>IF(C112="","",IF(C112&gt;=PQCDSM!$G$4,"AA",IF(AND(C112&gt;=PQCDSM!$G$3,C112&lt;PQCDSM!$G$4),"A",IF(AND(C112&gt;=PQCDSM!$G$2,C112&lt;PQCDSM!$G$3),"B","C"))))</f>
        <v>A</v>
      </c>
      <c r="C112" s="50">
        <f t="shared" si="66"/>
        <v>226</v>
      </c>
      <c r="D112" s="49" t="s">
        <v>50</v>
      </c>
      <c r="E112" s="49" t="s">
        <v>73</v>
      </c>
      <c r="F112" s="49" t="s">
        <v>74</v>
      </c>
      <c r="G112" s="49" t="s">
        <v>53</v>
      </c>
      <c r="H112" s="49" t="s">
        <v>54</v>
      </c>
      <c r="I112" s="49" t="s">
        <v>55</v>
      </c>
      <c r="J112" s="50">
        <f>IFERROR(VLOOKUP(D112,'[1]back office'!$A$4:$B$6,2,FALSE),"-")</f>
        <v>25</v>
      </c>
      <c r="K112" s="50">
        <f>IFERROR(VLOOKUP(E112,'[1]back office'!$C$4:$D$6,2,FALSE),"-")</f>
        <v>0</v>
      </c>
      <c r="L112" s="50">
        <f>IFERROR(VLOOKUP(F112,'[1]back office'!$E$4:$F$6,2,FALSE),"-")</f>
        <v>15</v>
      </c>
      <c r="M112" s="50">
        <f>IFERROR(VLOOKUP(G112,'[1]back office'!$G$4:$H$6,2,FALSE),"-")</f>
        <v>15</v>
      </c>
      <c r="N112" s="50">
        <f>IFERROR(VLOOKUP(H112,'[1]back office'!$I$4:$J$6,2,FALSE),"-")</f>
        <v>0</v>
      </c>
      <c r="O112" s="50">
        <f>IFERROR(VLOOKUP(I112,'[1]back office'!$K$4:$L$6,2,FALSE),"-")</f>
        <v>35</v>
      </c>
      <c r="P112" s="51">
        <f t="shared" si="67"/>
        <v>90</v>
      </c>
      <c r="Q112" s="49" t="s">
        <v>54</v>
      </c>
      <c r="R112" s="49" t="s">
        <v>57</v>
      </c>
      <c r="S112" s="49" t="s">
        <v>58</v>
      </c>
      <c r="T112" s="50">
        <f>IFERROR(VLOOKUP(Q112,'[1]back office'!$A$11:$B$13,2,FALSE),"-")</f>
        <v>0</v>
      </c>
      <c r="U112" s="50">
        <f>IFERROR(VLOOKUP(R112,'[1]back office'!$C$11:$D$13,2,FALSE),"-")</f>
        <v>0</v>
      </c>
      <c r="V112" s="50" t="str">
        <f>IFERROR(VLOOKUP(S112,'[1]back office'!$E$11:$F$13,2,FALSE),"-")</f>
        <v>-</v>
      </c>
      <c r="W112" s="51">
        <f t="shared" si="68"/>
        <v>0</v>
      </c>
      <c r="X112" s="49" t="s">
        <v>70</v>
      </c>
      <c r="Y112" s="49" t="s">
        <v>84</v>
      </c>
      <c r="Z112" s="49" t="s">
        <v>75</v>
      </c>
      <c r="AA112" s="49" t="s">
        <v>76</v>
      </c>
      <c r="AB112" s="50" t="str">
        <f>IFERROR(VLOOKUP(X112,'[1]back office'!$A$17:$B$19,2,FALSE),"-")</f>
        <v>-</v>
      </c>
      <c r="AC112" s="50">
        <f>IFERROR(VLOOKUP(Y112,'[1]back office'!$C$17:$D$19,2,FALSE),"-")</f>
        <v>5</v>
      </c>
      <c r="AD112" s="50">
        <f>IFERROR(VLOOKUP(Z112,'[1]back office'!$E$17:$F$19,2,FALSE),"-")</f>
        <v>20</v>
      </c>
      <c r="AE112" s="50">
        <f>IFERROR(VLOOKUP(AA112,'[1]back office'!$G$17:$H$19,2,FALSE),"-")</f>
        <v>0</v>
      </c>
      <c r="AF112" s="51">
        <f t="shared" si="69"/>
        <v>25</v>
      </c>
      <c r="AG112" s="49" t="s">
        <v>63</v>
      </c>
      <c r="AH112" s="51">
        <f>IFERROR(VLOOKUP(AG112,'[1]back office'!$A$23:$B$25,2,FALSE),"-")</f>
        <v>0</v>
      </c>
      <c r="AI112" s="49">
        <v>50</v>
      </c>
      <c r="AJ112" s="49">
        <v>15</v>
      </c>
      <c r="AK112" s="49">
        <f t="shared" si="70"/>
        <v>50</v>
      </c>
      <c r="AL112" s="49">
        <v>61</v>
      </c>
      <c r="AM112" s="51">
        <f t="shared" si="71"/>
        <v>111</v>
      </c>
      <c r="AN112" s="49" t="s">
        <v>222</v>
      </c>
      <c r="AO112" s="51" t="str">
        <f>IFERROR(VLOOKUP(AN112,'[1]back office'!$A$36:$B$38,2,FALSE),"-")</f>
        <v>-</v>
      </c>
    </row>
    <row r="113" spans="1:41">
      <c r="A113" s="47" t="s">
        <v>223</v>
      </c>
      <c r="B113" s="50" t="str">
        <f>IF(C113="","",IF(C113&gt;=PQCDSM!$G$4,"AA",IF(AND(C113&gt;=PQCDSM!$G$3,C113&lt;PQCDSM!$G$4),"A",IF(AND(C113&gt;=PQCDSM!$G$2,C113&lt;PQCDSM!$G$3),"B","C"))))</f>
        <v>A</v>
      </c>
      <c r="C113" s="50">
        <f t="shared" si="66"/>
        <v>227</v>
      </c>
      <c r="D113" s="49" t="s">
        <v>50</v>
      </c>
      <c r="E113" s="49" t="s">
        <v>73</v>
      </c>
      <c r="F113" s="49" t="s">
        <v>74</v>
      </c>
      <c r="G113" s="49" t="s">
        <v>53</v>
      </c>
      <c r="H113" s="49" t="s">
        <v>54</v>
      </c>
      <c r="I113" s="49" t="s">
        <v>55</v>
      </c>
      <c r="J113" s="50">
        <f>IFERROR(VLOOKUP(D113,'[1]back office'!$A$4:$B$6,2,FALSE),"-")</f>
        <v>25</v>
      </c>
      <c r="K113" s="50">
        <f>IFERROR(VLOOKUP(E113,'[1]back office'!$C$4:$D$6,2,FALSE),"-")</f>
        <v>0</v>
      </c>
      <c r="L113" s="50">
        <f>IFERROR(VLOOKUP(F113,'[1]back office'!$E$4:$F$6,2,FALSE),"-")</f>
        <v>15</v>
      </c>
      <c r="M113" s="50">
        <f>IFERROR(VLOOKUP(G113,'[1]back office'!$G$4:$H$6,2,FALSE),"-")</f>
        <v>15</v>
      </c>
      <c r="N113" s="50">
        <f>IFERROR(VLOOKUP(H113,'[1]back office'!$I$4:$J$6,2,FALSE),"-")</f>
        <v>0</v>
      </c>
      <c r="O113" s="50">
        <f>IFERROR(VLOOKUP(I113,'[1]back office'!$K$4:$L$6,2,FALSE),"-")</f>
        <v>35</v>
      </c>
      <c r="P113" s="51">
        <f t="shared" si="67"/>
        <v>90</v>
      </c>
      <c r="Q113" s="49" t="s">
        <v>54</v>
      </c>
      <c r="R113" s="49" t="s">
        <v>57</v>
      </c>
      <c r="S113" s="49" t="s">
        <v>58</v>
      </c>
      <c r="T113" s="50">
        <f>IFERROR(VLOOKUP(Q113,'[1]back office'!$A$11:$B$13,2,FALSE),"-")</f>
        <v>0</v>
      </c>
      <c r="U113" s="50">
        <f>IFERROR(VLOOKUP(R113,'[1]back office'!$C$11:$D$13,2,FALSE),"-")</f>
        <v>0</v>
      </c>
      <c r="V113" s="50" t="str">
        <f>IFERROR(VLOOKUP(S113,'[1]back office'!$E$11:$F$13,2,FALSE),"-")</f>
        <v>-</v>
      </c>
      <c r="W113" s="51">
        <f t="shared" si="68"/>
        <v>0</v>
      </c>
      <c r="X113" s="49" t="s">
        <v>70</v>
      </c>
      <c r="Y113" s="49" t="s">
        <v>84</v>
      </c>
      <c r="Z113" s="49" t="s">
        <v>75</v>
      </c>
      <c r="AA113" s="49" t="s">
        <v>76</v>
      </c>
      <c r="AB113" s="50" t="str">
        <f>IFERROR(VLOOKUP(X113,'[1]back office'!$A$17:$B$19,2,FALSE),"-")</f>
        <v>-</v>
      </c>
      <c r="AC113" s="50">
        <f>IFERROR(VLOOKUP(Y113,'[1]back office'!$C$17:$D$19,2,FALSE),"-")</f>
        <v>5</v>
      </c>
      <c r="AD113" s="50">
        <f>IFERROR(VLOOKUP(Z113,'[1]back office'!$E$17:$F$19,2,FALSE),"-")</f>
        <v>20</v>
      </c>
      <c r="AE113" s="50">
        <f>IFERROR(VLOOKUP(AA113,'[1]back office'!$G$17:$H$19,2,FALSE),"-")</f>
        <v>0</v>
      </c>
      <c r="AF113" s="51">
        <f t="shared" si="69"/>
        <v>25</v>
      </c>
      <c r="AG113" s="49" t="s">
        <v>63</v>
      </c>
      <c r="AH113" s="51">
        <f>IFERROR(VLOOKUP(AG113,'[1]back office'!$A$23:$B$25,2,FALSE),"-")</f>
        <v>0</v>
      </c>
      <c r="AI113" s="49">
        <v>50</v>
      </c>
      <c r="AJ113" s="49">
        <v>15</v>
      </c>
      <c r="AK113" s="49">
        <f t="shared" si="70"/>
        <v>50</v>
      </c>
      <c r="AL113" s="49">
        <v>62</v>
      </c>
      <c r="AM113" s="51">
        <f t="shared" si="71"/>
        <v>112</v>
      </c>
      <c r="AN113" s="49" t="s">
        <v>224</v>
      </c>
      <c r="AO113" s="51" t="str">
        <f>IFERROR(VLOOKUP(AN113,'[1]back office'!$A$36:$B$38,2,FALSE),"-")</f>
        <v>-</v>
      </c>
    </row>
    <row r="114" spans="1:41">
      <c r="A114" s="47" t="s">
        <v>225</v>
      </c>
      <c r="B114" s="50" t="str">
        <f>IF(C114="","",IF(C114&gt;=PQCDSM!$G$4,"AA",IF(AND(C114&gt;=PQCDSM!$G$3,C114&lt;PQCDSM!$G$4),"A",IF(AND(C114&gt;=PQCDSM!$G$2,C114&lt;PQCDSM!$G$3),"B","C"))))</f>
        <v>A</v>
      </c>
      <c r="C114" s="50">
        <f t="shared" si="66"/>
        <v>228</v>
      </c>
      <c r="D114" s="49" t="s">
        <v>50</v>
      </c>
      <c r="E114" s="49" t="s">
        <v>73</v>
      </c>
      <c r="F114" s="49" t="s">
        <v>74</v>
      </c>
      <c r="G114" s="49" t="s">
        <v>53</v>
      </c>
      <c r="H114" s="49" t="s">
        <v>54</v>
      </c>
      <c r="I114" s="49" t="s">
        <v>55</v>
      </c>
      <c r="J114" s="50">
        <f>IFERROR(VLOOKUP(D114,'[1]back office'!$A$4:$B$6,2,FALSE),"-")</f>
        <v>25</v>
      </c>
      <c r="K114" s="50">
        <f>IFERROR(VLOOKUP(E114,'[1]back office'!$C$4:$D$6,2,FALSE),"-")</f>
        <v>0</v>
      </c>
      <c r="L114" s="50">
        <f>IFERROR(VLOOKUP(F114,'[1]back office'!$E$4:$F$6,2,FALSE),"-")</f>
        <v>15</v>
      </c>
      <c r="M114" s="50">
        <f>IFERROR(VLOOKUP(G114,'[1]back office'!$G$4:$H$6,2,FALSE),"-")</f>
        <v>15</v>
      </c>
      <c r="N114" s="50">
        <f>IFERROR(VLOOKUP(H114,'[1]back office'!$I$4:$J$6,2,FALSE),"-")</f>
        <v>0</v>
      </c>
      <c r="O114" s="50">
        <f>IFERROR(VLOOKUP(I114,'[1]back office'!$K$4:$L$6,2,FALSE),"-")</f>
        <v>35</v>
      </c>
      <c r="P114" s="51">
        <f t="shared" si="67"/>
        <v>90</v>
      </c>
      <c r="Q114" s="49" t="s">
        <v>54</v>
      </c>
      <c r="R114" s="49" t="s">
        <v>57</v>
      </c>
      <c r="S114" s="49" t="s">
        <v>58</v>
      </c>
      <c r="T114" s="50">
        <f>IFERROR(VLOOKUP(Q114,'[1]back office'!$A$11:$B$13,2,FALSE),"-")</f>
        <v>0</v>
      </c>
      <c r="U114" s="50">
        <f>IFERROR(VLOOKUP(R114,'[1]back office'!$C$11:$D$13,2,FALSE),"-")</f>
        <v>0</v>
      </c>
      <c r="V114" s="50" t="str">
        <f>IFERROR(VLOOKUP(S114,'[1]back office'!$E$11:$F$13,2,FALSE),"-")</f>
        <v>-</v>
      </c>
      <c r="W114" s="51">
        <f t="shared" si="68"/>
        <v>0</v>
      </c>
      <c r="X114" s="49" t="s">
        <v>70</v>
      </c>
      <c r="Y114" s="49" t="s">
        <v>84</v>
      </c>
      <c r="Z114" s="49" t="s">
        <v>75</v>
      </c>
      <c r="AA114" s="49" t="s">
        <v>76</v>
      </c>
      <c r="AB114" s="50" t="str">
        <f>IFERROR(VLOOKUP(X114,'[1]back office'!$A$17:$B$19,2,FALSE),"-")</f>
        <v>-</v>
      </c>
      <c r="AC114" s="50">
        <f>IFERROR(VLOOKUP(Y114,'[1]back office'!$C$17:$D$19,2,FALSE),"-")</f>
        <v>5</v>
      </c>
      <c r="AD114" s="50">
        <f>IFERROR(VLOOKUP(Z114,'[1]back office'!$E$17:$F$19,2,FALSE),"-")</f>
        <v>20</v>
      </c>
      <c r="AE114" s="50">
        <f>IFERROR(VLOOKUP(AA114,'[1]back office'!$G$17:$H$19,2,FALSE),"-")</f>
        <v>0</v>
      </c>
      <c r="AF114" s="51">
        <f t="shared" si="69"/>
        <v>25</v>
      </c>
      <c r="AG114" s="49" t="s">
        <v>63</v>
      </c>
      <c r="AH114" s="51">
        <f>IFERROR(VLOOKUP(AG114,'[1]back office'!$A$23:$B$25,2,FALSE),"-")</f>
        <v>0</v>
      </c>
      <c r="AI114" s="49">
        <v>50</v>
      </c>
      <c r="AJ114" s="49">
        <v>15</v>
      </c>
      <c r="AK114" s="49">
        <f t="shared" si="70"/>
        <v>50</v>
      </c>
      <c r="AL114" s="49">
        <v>63</v>
      </c>
      <c r="AM114" s="51">
        <f t="shared" si="71"/>
        <v>113</v>
      </c>
      <c r="AN114" s="49" t="s">
        <v>226</v>
      </c>
      <c r="AO114" s="51" t="str">
        <f>IFERROR(VLOOKUP(AN114,'[1]back office'!$A$36:$B$38,2,FALSE),"-")</f>
        <v>-</v>
      </c>
    </row>
    <row r="115" spans="1:41">
      <c r="A115" s="47" t="s">
        <v>227</v>
      </c>
      <c r="B115" s="50" t="str">
        <f>IF(C115="","",IF(C115&gt;=PQCDSM!$G$4,"AA",IF(AND(C115&gt;=PQCDSM!$G$3,C115&lt;PQCDSM!$G$4),"A",IF(AND(C115&gt;=PQCDSM!$G$2,C115&lt;PQCDSM!$G$3),"B","C"))))</f>
        <v>A</v>
      </c>
      <c r="C115" s="50">
        <f t="shared" si="66"/>
        <v>229</v>
      </c>
      <c r="D115" s="49" t="s">
        <v>50</v>
      </c>
      <c r="E115" s="49" t="s">
        <v>73</v>
      </c>
      <c r="F115" s="49" t="s">
        <v>74</v>
      </c>
      <c r="G115" s="49" t="s">
        <v>53</v>
      </c>
      <c r="H115" s="49" t="s">
        <v>54</v>
      </c>
      <c r="I115" s="49" t="s">
        <v>55</v>
      </c>
      <c r="J115" s="50">
        <f>IFERROR(VLOOKUP(D115,'[1]back office'!$A$4:$B$6,2,FALSE),"-")</f>
        <v>25</v>
      </c>
      <c r="K115" s="50">
        <f>IFERROR(VLOOKUP(E115,'[1]back office'!$C$4:$D$6,2,FALSE),"-")</f>
        <v>0</v>
      </c>
      <c r="L115" s="50">
        <f>IFERROR(VLOOKUP(F115,'[1]back office'!$E$4:$F$6,2,FALSE),"-")</f>
        <v>15</v>
      </c>
      <c r="M115" s="50">
        <f>IFERROR(VLOOKUP(G115,'[1]back office'!$G$4:$H$6,2,FALSE),"-")</f>
        <v>15</v>
      </c>
      <c r="N115" s="50">
        <f>IFERROR(VLOOKUP(H115,'[1]back office'!$I$4:$J$6,2,FALSE),"-")</f>
        <v>0</v>
      </c>
      <c r="O115" s="50">
        <f>IFERROR(VLOOKUP(I115,'[1]back office'!$K$4:$L$6,2,FALSE),"-")</f>
        <v>35</v>
      </c>
      <c r="P115" s="51">
        <f t="shared" si="67"/>
        <v>90</v>
      </c>
      <c r="Q115" s="49" t="s">
        <v>54</v>
      </c>
      <c r="R115" s="49" t="s">
        <v>57</v>
      </c>
      <c r="S115" s="49" t="s">
        <v>58</v>
      </c>
      <c r="T115" s="50">
        <f>IFERROR(VLOOKUP(Q115,'[1]back office'!$A$11:$B$13,2,FALSE),"-")</f>
        <v>0</v>
      </c>
      <c r="U115" s="50">
        <f>IFERROR(VLOOKUP(R115,'[1]back office'!$C$11:$D$13,2,FALSE),"-")</f>
        <v>0</v>
      </c>
      <c r="V115" s="50" t="str">
        <f>IFERROR(VLOOKUP(S115,'[1]back office'!$E$11:$F$13,2,FALSE),"-")</f>
        <v>-</v>
      </c>
      <c r="W115" s="51">
        <f t="shared" si="68"/>
        <v>0</v>
      </c>
      <c r="X115" s="49" t="s">
        <v>70</v>
      </c>
      <c r="Y115" s="49" t="s">
        <v>84</v>
      </c>
      <c r="Z115" s="49" t="s">
        <v>75</v>
      </c>
      <c r="AA115" s="49" t="s">
        <v>76</v>
      </c>
      <c r="AB115" s="50" t="str">
        <f>IFERROR(VLOOKUP(X115,'[1]back office'!$A$17:$B$19,2,FALSE),"-")</f>
        <v>-</v>
      </c>
      <c r="AC115" s="50">
        <f>IFERROR(VLOOKUP(Y115,'[1]back office'!$C$17:$D$19,2,FALSE),"-")</f>
        <v>5</v>
      </c>
      <c r="AD115" s="50">
        <f>IFERROR(VLOOKUP(Z115,'[1]back office'!$E$17:$F$19,2,FALSE),"-")</f>
        <v>20</v>
      </c>
      <c r="AE115" s="50">
        <f>IFERROR(VLOOKUP(AA115,'[1]back office'!$G$17:$H$19,2,FALSE),"-")</f>
        <v>0</v>
      </c>
      <c r="AF115" s="51">
        <f t="shared" si="69"/>
        <v>25</v>
      </c>
      <c r="AG115" s="49" t="s">
        <v>63</v>
      </c>
      <c r="AH115" s="51">
        <f>IFERROR(VLOOKUP(AG115,'[1]back office'!$A$23:$B$25,2,FALSE),"-")</f>
        <v>0</v>
      </c>
      <c r="AI115" s="49">
        <v>50</v>
      </c>
      <c r="AJ115" s="49">
        <v>15</v>
      </c>
      <c r="AK115" s="49">
        <f t="shared" si="70"/>
        <v>50</v>
      </c>
      <c r="AL115" s="49">
        <v>64</v>
      </c>
      <c r="AM115" s="51">
        <f t="shared" si="71"/>
        <v>114</v>
      </c>
      <c r="AN115" s="49" t="s">
        <v>228</v>
      </c>
      <c r="AO115" s="51" t="str">
        <f>IFERROR(VLOOKUP(AN115,'[1]back office'!$A$36:$B$38,2,FALSE),"-")</f>
        <v>-</v>
      </c>
    </row>
    <row r="116" spans="1:41">
      <c r="A116" s="47" t="s">
        <v>229</v>
      </c>
      <c r="B116" s="50" t="str">
        <f>IF(C116="","",IF(C116&gt;=PQCDSM!$G$4,"AA",IF(AND(C116&gt;=PQCDSM!$G$3,C116&lt;PQCDSM!$G$4),"A",IF(AND(C116&gt;=PQCDSM!$G$2,C116&lt;PQCDSM!$G$3),"B","C"))))</f>
        <v>A</v>
      </c>
      <c r="C116" s="50">
        <f t="shared" si="66"/>
        <v>230</v>
      </c>
      <c r="D116" s="49" t="s">
        <v>50</v>
      </c>
      <c r="E116" s="49" t="s">
        <v>73</v>
      </c>
      <c r="F116" s="49" t="s">
        <v>74</v>
      </c>
      <c r="G116" s="49" t="s">
        <v>53</v>
      </c>
      <c r="H116" s="49" t="s">
        <v>54</v>
      </c>
      <c r="I116" s="49" t="s">
        <v>55</v>
      </c>
      <c r="J116" s="50">
        <f>IFERROR(VLOOKUP(D116,'[1]back office'!$A$4:$B$6,2,FALSE),"-")</f>
        <v>25</v>
      </c>
      <c r="K116" s="50">
        <f>IFERROR(VLOOKUP(E116,'[1]back office'!$C$4:$D$6,2,FALSE),"-")</f>
        <v>0</v>
      </c>
      <c r="L116" s="50">
        <f>IFERROR(VLOOKUP(F116,'[1]back office'!$E$4:$F$6,2,FALSE),"-")</f>
        <v>15</v>
      </c>
      <c r="M116" s="50">
        <f>IFERROR(VLOOKUP(G116,'[1]back office'!$G$4:$H$6,2,FALSE),"-")</f>
        <v>15</v>
      </c>
      <c r="N116" s="50">
        <f>IFERROR(VLOOKUP(H116,'[1]back office'!$I$4:$J$6,2,FALSE),"-")</f>
        <v>0</v>
      </c>
      <c r="O116" s="50">
        <f>IFERROR(VLOOKUP(I116,'[1]back office'!$K$4:$L$6,2,FALSE),"-")</f>
        <v>35</v>
      </c>
      <c r="P116" s="51">
        <f t="shared" si="67"/>
        <v>90</v>
      </c>
      <c r="Q116" s="49" t="s">
        <v>54</v>
      </c>
      <c r="R116" s="49" t="s">
        <v>57</v>
      </c>
      <c r="S116" s="49" t="s">
        <v>58</v>
      </c>
      <c r="T116" s="50">
        <f>IFERROR(VLOOKUP(Q116,'[1]back office'!$A$11:$B$13,2,FALSE),"-")</f>
        <v>0</v>
      </c>
      <c r="U116" s="50">
        <f>IFERROR(VLOOKUP(R116,'[1]back office'!$C$11:$D$13,2,FALSE),"-")</f>
        <v>0</v>
      </c>
      <c r="V116" s="50" t="str">
        <f>IFERROR(VLOOKUP(S116,'[1]back office'!$E$11:$F$13,2,FALSE),"-")</f>
        <v>-</v>
      </c>
      <c r="W116" s="51">
        <f t="shared" si="68"/>
        <v>0</v>
      </c>
      <c r="X116" s="49" t="s">
        <v>70</v>
      </c>
      <c r="Y116" s="49" t="s">
        <v>84</v>
      </c>
      <c r="Z116" s="49" t="s">
        <v>75</v>
      </c>
      <c r="AA116" s="49" t="s">
        <v>76</v>
      </c>
      <c r="AB116" s="50" t="str">
        <f>IFERROR(VLOOKUP(X116,'[1]back office'!$A$17:$B$19,2,FALSE),"-")</f>
        <v>-</v>
      </c>
      <c r="AC116" s="50">
        <f>IFERROR(VLOOKUP(Y116,'[1]back office'!$C$17:$D$19,2,FALSE),"-")</f>
        <v>5</v>
      </c>
      <c r="AD116" s="50">
        <f>IFERROR(VLOOKUP(Z116,'[1]back office'!$E$17:$F$19,2,FALSE),"-")</f>
        <v>20</v>
      </c>
      <c r="AE116" s="50">
        <f>IFERROR(VLOOKUP(AA116,'[1]back office'!$G$17:$H$19,2,FALSE),"-")</f>
        <v>0</v>
      </c>
      <c r="AF116" s="51">
        <f t="shared" si="69"/>
        <v>25</v>
      </c>
      <c r="AG116" s="49" t="s">
        <v>63</v>
      </c>
      <c r="AH116" s="51">
        <f>IFERROR(VLOOKUP(AG116,'[1]back office'!$A$23:$B$25,2,FALSE),"-")</f>
        <v>0</v>
      </c>
      <c r="AI116" s="49">
        <v>50</v>
      </c>
      <c r="AJ116" s="49">
        <v>15</v>
      </c>
      <c r="AK116" s="49">
        <f t="shared" si="70"/>
        <v>50</v>
      </c>
      <c r="AL116" s="49">
        <v>65</v>
      </c>
      <c r="AM116" s="51">
        <f t="shared" si="71"/>
        <v>115</v>
      </c>
      <c r="AN116" s="49" t="s">
        <v>230</v>
      </c>
      <c r="AO116" s="51" t="str">
        <f>IFERROR(VLOOKUP(AN116,'[1]back office'!$A$36:$B$38,2,FALSE),"-")</f>
        <v>-</v>
      </c>
    </row>
    <row r="117" spans="1:41">
      <c r="A117" s="47" t="s">
        <v>231</v>
      </c>
      <c r="B117" s="50" t="str">
        <f>IF(C117="","",IF(C117&gt;=PQCDSM!$G$4,"AA",IF(AND(C117&gt;=PQCDSM!$G$3,C117&lt;PQCDSM!$G$4),"A",IF(AND(C117&gt;=PQCDSM!$G$2,C117&lt;PQCDSM!$G$3),"B","C"))))</f>
        <v>A</v>
      </c>
      <c r="C117" s="50">
        <f t="shared" si="66"/>
        <v>231</v>
      </c>
      <c r="D117" s="49" t="s">
        <v>50</v>
      </c>
      <c r="E117" s="49" t="s">
        <v>73</v>
      </c>
      <c r="F117" s="49" t="s">
        <v>74</v>
      </c>
      <c r="G117" s="49" t="s">
        <v>53</v>
      </c>
      <c r="H117" s="49" t="s">
        <v>54</v>
      </c>
      <c r="I117" s="49" t="s">
        <v>55</v>
      </c>
      <c r="J117" s="50">
        <f>IFERROR(VLOOKUP(D117,'[1]back office'!$A$4:$B$6,2,FALSE),"-")</f>
        <v>25</v>
      </c>
      <c r="K117" s="50">
        <f>IFERROR(VLOOKUP(E117,'[1]back office'!$C$4:$D$6,2,FALSE),"-")</f>
        <v>0</v>
      </c>
      <c r="L117" s="50">
        <f>IFERROR(VLOOKUP(F117,'[1]back office'!$E$4:$F$6,2,FALSE),"-")</f>
        <v>15</v>
      </c>
      <c r="M117" s="50">
        <f>IFERROR(VLOOKUP(G117,'[1]back office'!$G$4:$H$6,2,FALSE),"-")</f>
        <v>15</v>
      </c>
      <c r="N117" s="50">
        <f>IFERROR(VLOOKUP(H117,'[1]back office'!$I$4:$J$6,2,FALSE),"-")</f>
        <v>0</v>
      </c>
      <c r="O117" s="50">
        <f>IFERROR(VLOOKUP(I117,'[1]back office'!$K$4:$L$6,2,FALSE),"-")</f>
        <v>35</v>
      </c>
      <c r="P117" s="51">
        <f t="shared" si="67"/>
        <v>90</v>
      </c>
      <c r="Q117" s="49" t="s">
        <v>54</v>
      </c>
      <c r="R117" s="49" t="s">
        <v>57</v>
      </c>
      <c r="S117" s="49" t="s">
        <v>58</v>
      </c>
      <c r="T117" s="50">
        <f>IFERROR(VLOOKUP(Q117,'[1]back office'!$A$11:$B$13,2,FALSE),"-")</f>
        <v>0</v>
      </c>
      <c r="U117" s="50">
        <f>IFERROR(VLOOKUP(R117,'[1]back office'!$C$11:$D$13,2,FALSE),"-")</f>
        <v>0</v>
      </c>
      <c r="V117" s="50" t="str">
        <f>IFERROR(VLOOKUP(S117,'[1]back office'!$E$11:$F$13,2,FALSE),"-")</f>
        <v>-</v>
      </c>
      <c r="W117" s="51">
        <f t="shared" si="68"/>
        <v>0</v>
      </c>
      <c r="X117" s="49" t="s">
        <v>70</v>
      </c>
      <c r="Y117" s="49" t="s">
        <v>84</v>
      </c>
      <c r="Z117" s="49" t="s">
        <v>75</v>
      </c>
      <c r="AA117" s="49" t="s">
        <v>76</v>
      </c>
      <c r="AB117" s="50" t="str">
        <f>IFERROR(VLOOKUP(X117,'[1]back office'!$A$17:$B$19,2,FALSE),"-")</f>
        <v>-</v>
      </c>
      <c r="AC117" s="50">
        <f>IFERROR(VLOOKUP(Y117,'[1]back office'!$C$17:$D$19,2,FALSE),"-")</f>
        <v>5</v>
      </c>
      <c r="AD117" s="50">
        <f>IFERROR(VLOOKUP(Z117,'[1]back office'!$E$17:$F$19,2,FALSE),"-")</f>
        <v>20</v>
      </c>
      <c r="AE117" s="50">
        <f>IFERROR(VLOOKUP(AA117,'[1]back office'!$G$17:$H$19,2,FALSE),"-")</f>
        <v>0</v>
      </c>
      <c r="AF117" s="51">
        <f t="shared" si="69"/>
        <v>25</v>
      </c>
      <c r="AG117" s="49" t="s">
        <v>63</v>
      </c>
      <c r="AH117" s="51">
        <f>IFERROR(VLOOKUP(AG117,'[1]back office'!$A$23:$B$25,2,FALSE),"-")</f>
        <v>0</v>
      </c>
      <c r="AI117" s="49">
        <v>50</v>
      </c>
      <c r="AJ117" s="49">
        <v>15</v>
      </c>
      <c r="AK117" s="49">
        <f t="shared" si="70"/>
        <v>50</v>
      </c>
      <c r="AL117" s="49">
        <v>66</v>
      </c>
      <c r="AM117" s="51">
        <f t="shared" si="71"/>
        <v>116</v>
      </c>
      <c r="AN117" s="49" t="s">
        <v>232</v>
      </c>
      <c r="AO117" s="51" t="str">
        <f>IFERROR(VLOOKUP(AN117,'[1]back office'!$A$36:$B$38,2,FALSE),"-")</f>
        <v>-</v>
      </c>
    </row>
    <row r="118" spans="1:41">
      <c r="A118" s="47" t="s">
        <v>233</v>
      </c>
      <c r="B118" s="50" t="str">
        <f>IF(C118="","",IF(C118&gt;=PQCDSM!$G$4,"AA",IF(AND(C118&gt;=PQCDSM!$G$3,C118&lt;PQCDSM!$G$4),"A",IF(AND(C118&gt;=PQCDSM!$G$2,C118&lt;PQCDSM!$G$3),"B","C"))))</f>
        <v>A</v>
      </c>
      <c r="C118" s="50">
        <f t="shared" si="66"/>
        <v>232</v>
      </c>
      <c r="D118" s="49" t="s">
        <v>50</v>
      </c>
      <c r="E118" s="49" t="s">
        <v>73</v>
      </c>
      <c r="F118" s="49" t="s">
        <v>74</v>
      </c>
      <c r="G118" s="49" t="s">
        <v>53</v>
      </c>
      <c r="H118" s="49" t="s">
        <v>54</v>
      </c>
      <c r="I118" s="49" t="s">
        <v>55</v>
      </c>
      <c r="J118" s="50">
        <f>IFERROR(VLOOKUP(D118,'[1]back office'!$A$4:$B$6,2,FALSE),"-")</f>
        <v>25</v>
      </c>
      <c r="K118" s="50">
        <f>IFERROR(VLOOKUP(E118,'[1]back office'!$C$4:$D$6,2,FALSE),"-")</f>
        <v>0</v>
      </c>
      <c r="L118" s="50">
        <f>IFERROR(VLOOKUP(F118,'[1]back office'!$E$4:$F$6,2,FALSE),"-")</f>
        <v>15</v>
      </c>
      <c r="M118" s="50">
        <f>IFERROR(VLOOKUP(G118,'[1]back office'!$G$4:$H$6,2,FALSE),"-")</f>
        <v>15</v>
      </c>
      <c r="N118" s="50">
        <f>IFERROR(VLOOKUP(H118,'[1]back office'!$I$4:$J$6,2,FALSE),"-")</f>
        <v>0</v>
      </c>
      <c r="O118" s="50">
        <f>IFERROR(VLOOKUP(I118,'[1]back office'!$K$4:$L$6,2,FALSE),"-")</f>
        <v>35</v>
      </c>
      <c r="P118" s="51">
        <f t="shared" si="67"/>
        <v>90</v>
      </c>
      <c r="Q118" s="49" t="s">
        <v>54</v>
      </c>
      <c r="R118" s="49" t="s">
        <v>57</v>
      </c>
      <c r="S118" s="49" t="s">
        <v>58</v>
      </c>
      <c r="T118" s="50">
        <f>IFERROR(VLOOKUP(Q118,'[1]back office'!$A$11:$B$13,2,FALSE),"-")</f>
        <v>0</v>
      </c>
      <c r="U118" s="50">
        <f>IFERROR(VLOOKUP(R118,'[1]back office'!$C$11:$D$13,2,FALSE),"-")</f>
        <v>0</v>
      </c>
      <c r="V118" s="50" t="str">
        <f>IFERROR(VLOOKUP(S118,'[1]back office'!$E$11:$F$13,2,FALSE),"-")</f>
        <v>-</v>
      </c>
      <c r="W118" s="51">
        <f t="shared" si="68"/>
        <v>0</v>
      </c>
      <c r="X118" s="49" t="s">
        <v>70</v>
      </c>
      <c r="Y118" s="49" t="s">
        <v>84</v>
      </c>
      <c r="Z118" s="49" t="s">
        <v>75</v>
      </c>
      <c r="AA118" s="49" t="s">
        <v>76</v>
      </c>
      <c r="AB118" s="50" t="str">
        <f>IFERROR(VLOOKUP(X118,'[1]back office'!$A$17:$B$19,2,FALSE),"-")</f>
        <v>-</v>
      </c>
      <c r="AC118" s="50">
        <f>IFERROR(VLOOKUP(Y118,'[1]back office'!$C$17:$D$19,2,FALSE),"-")</f>
        <v>5</v>
      </c>
      <c r="AD118" s="50">
        <f>IFERROR(VLOOKUP(Z118,'[1]back office'!$E$17:$F$19,2,FALSE),"-")</f>
        <v>20</v>
      </c>
      <c r="AE118" s="50">
        <f>IFERROR(VLOOKUP(AA118,'[1]back office'!$G$17:$H$19,2,FALSE),"-")</f>
        <v>0</v>
      </c>
      <c r="AF118" s="51">
        <f t="shared" si="69"/>
        <v>25</v>
      </c>
      <c r="AG118" s="49" t="s">
        <v>63</v>
      </c>
      <c r="AH118" s="51">
        <f>IFERROR(VLOOKUP(AG118,'[1]back office'!$A$23:$B$25,2,FALSE),"-")</f>
        <v>0</v>
      </c>
      <c r="AI118" s="49">
        <v>50</v>
      </c>
      <c r="AJ118" s="49">
        <v>15</v>
      </c>
      <c r="AK118" s="49">
        <f t="shared" si="70"/>
        <v>50</v>
      </c>
      <c r="AL118" s="49">
        <v>67</v>
      </c>
      <c r="AM118" s="51">
        <f t="shared" si="71"/>
        <v>117</v>
      </c>
      <c r="AN118" s="49" t="s">
        <v>234</v>
      </c>
      <c r="AO118" s="51" t="str">
        <f>IFERROR(VLOOKUP(AN118,'[1]back office'!$A$36:$B$38,2,FALSE),"-")</f>
        <v>-</v>
      </c>
    </row>
    <row r="119" spans="1:41">
      <c r="A119" s="47" t="s">
        <v>235</v>
      </c>
      <c r="B119" s="50" t="str">
        <f>IF(C119="","",IF(C119&gt;=PQCDSM!$G$4,"AA",IF(AND(C119&gt;=PQCDSM!$G$3,C119&lt;PQCDSM!$G$4),"A",IF(AND(C119&gt;=PQCDSM!$G$2,C119&lt;PQCDSM!$G$3),"B","C"))))</f>
        <v>A</v>
      </c>
      <c r="C119" s="50">
        <f t="shared" si="66"/>
        <v>235</v>
      </c>
      <c r="D119" s="49" t="s">
        <v>50</v>
      </c>
      <c r="E119" s="49" t="s">
        <v>73</v>
      </c>
      <c r="F119" s="49" t="s">
        <v>74</v>
      </c>
      <c r="G119" s="49" t="s">
        <v>53</v>
      </c>
      <c r="H119" s="49" t="s">
        <v>54</v>
      </c>
      <c r="I119" s="49" t="s">
        <v>55</v>
      </c>
      <c r="J119" s="50">
        <f>IFERROR(VLOOKUP(D119,'[1]back office'!$A$4:$B$6,2,FALSE),"-")</f>
        <v>25</v>
      </c>
      <c r="K119" s="50">
        <f>IFERROR(VLOOKUP(E119,'[1]back office'!$C$4:$D$6,2,FALSE),"-")</f>
        <v>0</v>
      </c>
      <c r="L119" s="50">
        <f>IFERROR(VLOOKUP(F119,'[1]back office'!$E$4:$F$6,2,FALSE),"-")</f>
        <v>15</v>
      </c>
      <c r="M119" s="50">
        <f>IFERROR(VLOOKUP(G119,'[1]back office'!$G$4:$H$6,2,FALSE),"-")</f>
        <v>15</v>
      </c>
      <c r="N119" s="50">
        <f>IFERROR(VLOOKUP(H119,'[1]back office'!$I$4:$J$6,2,FALSE),"-")</f>
        <v>0</v>
      </c>
      <c r="O119" s="50">
        <f>IFERROR(VLOOKUP(I119,'[1]back office'!$K$4:$L$6,2,FALSE),"-")</f>
        <v>35</v>
      </c>
      <c r="P119" s="51">
        <f t="shared" si="67"/>
        <v>90</v>
      </c>
      <c r="Q119" s="49" t="s">
        <v>54</v>
      </c>
      <c r="R119" s="49" t="s">
        <v>57</v>
      </c>
      <c r="S119" s="49" t="s">
        <v>58</v>
      </c>
      <c r="T119" s="50">
        <f>IFERROR(VLOOKUP(Q119,'[1]back office'!$A$11:$B$13,2,FALSE),"-")</f>
        <v>0</v>
      </c>
      <c r="U119" s="50">
        <f>IFERROR(VLOOKUP(R119,'[1]back office'!$C$11:$D$13,2,FALSE),"-")</f>
        <v>0</v>
      </c>
      <c r="V119" s="50" t="str">
        <f>IFERROR(VLOOKUP(S119,'[1]back office'!$E$11:$F$13,2,FALSE),"-")</f>
        <v>-</v>
      </c>
      <c r="W119" s="51">
        <f t="shared" si="68"/>
        <v>0</v>
      </c>
      <c r="X119" s="49" t="s">
        <v>70</v>
      </c>
      <c r="Y119" s="49" t="s">
        <v>84</v>
      </c>
      <c r="Z119" s="49" t="s">
        <v>75</v>
      </c>
      <c r="AA119" s="49" t="s">
        <v>76</v>
      </c>
      <c r="AB119" s="50" t="str">
        <f>IFERROR(VLOOKUP(X119,'[1]back office'!$A$17:$B$19,2,FALSE),"-")</f>
        <v>-</v>
      </c>
      <c r="AC119" s="50">
        <f>IFERROR(VLOOKUP(Y119,'[1]back office'!$C$17:$D$19,2,FALSE),"-")</f>
        <v>5</v>
      </c>
      <c r="AD119" s="50">
        <f>IFERROR(VLOOKUP(Z119,'[1]back office'!$E$17:$F$19,2,FALSE),"-")</f>
        <v>20</v>
      </c>
      <c r="AE119" s="50">
        <f>IFERROR(VLOOKUP(AA119,'[1]back office'!$G$17:$H$19,2,FALSE),"-")</f>
        <v>0</v>
      </c>
      <c r="AF119" s="51">
        <f t="shared" si="69"/>
        <v>25</v>
      </c>
      <c r="AG119" s="49" t="s">
        <v>63</v>
      </c>
      <c r="AH119" s="51">
        <f>IFERROR(VLOOKUP(AG119,'[1]back office'!$A$23:$B$25,2,FALSE),"-")</f>
        <v>0</v>
      </c>
      <c r="AI119" s="49">
        <v>50</v>
      </c>
      <c r="AJ119" s="49">
        <v>15</v>
      </c>
      <c r="AK119" s="49">
        <f t="shared" si="70"/>
        <v>50</v>
      </c>
      <c r="AL119" s="49">
        <v>70</v>
      </c>
      <c r="AM119" s="51">
        <f t="shared" si="71"/>
        <v>120</v>
      </c>
      <c r="AN119" s="49" t="s">
        <v>236</v>
      </c>
      <c r="AO119" s="51" t="str">
        <f>IFERROR(VLOOKUP(AN119,'[1]back office'!$A$36:$B$38,2,FALSE),"-")</f>
        <v>-</v>
      </c>
    </row>
    <row r="120" spans="1:41">
      <c r="A120" s="47" t="s">
        <v>237</v>
      </c>
      <c r="B120" s="50" t="str">
        <f>IF(C120="","",IF(C120&gt;=PQCDSM!$G$4,"AA",IF(AND(C120&gt;=PQCDSM!$G$3,C120&lt;PQCDSM!$G$4),"A",IF(AND(C120&gt;=PQCDSM!$G$2,C120&lt;PQCDSM!$G$3),"B","C"))))</f>
        <v>A</v>
      </c>
      <c r="C120" s="50">
        <f>IF(SUM(P120,W120,AF120,AH120,AM120,AO120)=0,"",SUM(P120,W120,AF120,AH120,AM120,AO120))</f>
        <v>216</v>
      </c>
      <c r="D120" s="49" t="s">
        <v>50</v>
      </c>
      <c r="E120" s="49" t="s">
        <v>92</v>
      </c>
      <c r="F120" s="49" t="s">
        <v>74</v>
      </c>
      <c r="G120" s="49" t="s">
        <v>53</v>
      </c>
      <c r="H120" s="49" t="s">
        <v>54</v>
      </c>
      <c r="I120" s="49" t="s">
        <v>78</v>
      </c>
      <c r="J120" s="50">
        <f>IFERROR(VLOOKUP(D120,'[1]back office'!$A$4:$B$6,2,FALSE),"-")</f>
        <v>25</v>
      </c>
      <c r="K120" s="50">
        <f>IFERROR(VLOOKUP(E120,'[1]back office'!$C$4:$D$6,2,FALSE),"-")</f>
        <v>15</v>
      </c>
      <c r="L120" s="50">
        <f>IFERROR(VLOOKUP(F120,'[1]back office'!$E$4:$F$6,2,FALSE),"-")</f>
        <v>15</v>
      </c>
      <c r="M120" s="50">
        <f>IFERROR(VLOOKUP(G120,'[1]back office'!$G$4:$H$6,2,FALSE),"-")</f>
        <v>15</v>
      </c>
      <c r="N120" s="50">
        <f>IFERROR(VLOOKUP(H120,'[1]back office'!$I$4:$J$6,2,FALSE),"-")</f>
        <v>0</v>
      </c>
      <c r="O120" s="50" t="str">
        <f>IFERROR(VLOOKUP(I120,'[1]back office'!$K$4:$L$6,2,FALSE),"-")</f>
        <v>-</v>
      </c>
      <c r="P120" s="51">
        <f t="shared" si="67"/>
        <v>70</v>
      </c>
      <c r="Q120" s="49" t="s">
        <v>54</v>
      </c>
      <c r="R120" s="49" t="s">
        <v>238</v>
      </c>
      <c r="S120" s="49" t="s">
        <v>58</v>
      </c>
      <c r="T120" s="50">
        <f>IFERROR(VLOOKUP(Q120,'[1]back office'!$A$11:$B$13,2,FALSE),"-")</f>
        <v>0</v>
      </c>
      <c r="U120" s="50" t="str">
        <f>IFERROR(VLOOKUP(R120,'[1]back office'!$C$11:$D$13,2,FALSE),"-")</f>
        <v>-</v>
      </c>
      <c r="V120" s="50" t="str">
        <f>IFERROR(VLOOKUP(S120,'[1]back office'!$E$11:$F$13,2,FALSE),"-")</f>
        <v>-</v>
      </c>
      <c r="W120" s="51">
        <f t="shared" si="68"/>
        <v>0</v>
      </c>
      <c r="X120" s="49" t="s">
        <v>70</v>
      </c>
      <c r="Y120" s="49" t="s">
        <v>84</v>
      </c>
      <c r="Z120" s="49" t="s">
        <v>75</v>
      </c>
      <c r="AA120" s="49" t="s">
        <v>76</v>
      </c>
      <c r="AB120" s="50" t="str">
        <f>IFERROR(VLOOKUP(X120,'[1]back office'!$A$17:$B$19,2,FALSE),"-")</f>
        <v>-</v>
      </c>
      <c r="AC120" s="50">
        <f>IFERROR(VLOOKUP(Y120,'[1]back office'!$C$17:$D$19,2,FALSE),"-")</f>
        <v>5</v>
      </c>
      <c r="AD120" s="50">
        <f>IFERROR(VLOOKUP(Z120,'[1]back office'!$E$17:$F$19,2,FALSE),"-")</f>
        <v>20</v>
      </c>
      <c r="AE120" s="50">
        <f>IFERROR(VLOOKUP(AA120,'[1]back office'!$G$17:$H$19,2,FALSE),"-")</f>
        <v>0</v>
      </c>
      <c r="AF120" s="51">
        <f t="shared" si="69"/>
        <v>25</v>
      </c>
      <c r="AG120" s="49" t="s">
        <v>63</v>
      </c>
      <c r="AH120" s="51">
        <f>IFERROR(VLOOKUP(AG120,'[1]back office'!$A$23:$B$25,2,FALSE),"-")</f>
        <v>0</v>
      </c>
      <c r="AI120" s="49">
        <v>50</v>
      </c>
      <c r="AJ120" s="49">
        <v>15</v>
      </c>
      <c r="AK120" s="49">
        <f t="shared" si="70"/>
        <v>50</v>
      </c>
      <c r="AL120" s="49">
        <v>71</v>
      </c>
      <c r="AM120" s="51">
        <f t="shared" si="71"/>
        <v>121</v>
      </c>
      <c r="AN120" s="49" t="s">
        <v>239</v>
      </c>
      <c r="AO120" s="51" t="str">
        <f>IFERROR(VLOOKUP(AN120,'[1]back office'!$A$36:$B$38,2,FALSE),"-")</f>
        <v>-</v>
      </c>
    </row>
    <row r="121" spans="1:41">
      <c r="A121" s="47" t="s">
        <v>240</v>
      </c>
      <c r="B121" s="50" t="str">
        <f>IF(C121="","",IF(C121&gt;=PQCDSM!$G$4,"AA",IF(AND(C121&gt;=PQCDSM!$G$3,C121&lt;PQCDSM!$G$4),"A",IF(AND(C121&gt;=PQCDSM!$G$2,C121&lt;PQCDSM!$G$3),"B","C"))))</f>
        <v>A</v>
      </c>
      <c r="C121" s="50">
        <f t="shared" si="66"/>
        <v>237</v>
      </c>
      <c r="D121" s="49" t="s">
        <v>50</v>
      </c>
      <c r="E121" s="49" t="s">
        <v>73</v>
      </c>
      <c r="F121" s="49" t="s">
        <v>74</v>
      </c>
      <c r="G121" s="49" t="s">
        <v>53</v>
      </c>
      <c r="H121" s="49" t="s">
        <v>54</v>
      </c>
      <c r="I121" s="49" t="s">
        <v>55</v>
      </c>
      <c r="J121" s="50">
        <f>IFERROR(VLOOKUP(D121,'[1]back office'!$A$4:$B$6,2,FALSE),"-")</f>
        <v>25</v>
      </c>
      <c r="K121" s="50">
        <f>IFERROR(VLOOKUP(E121,'[1]back office'!$C$4:$D$6,2,FALSE),"-")</f>
        <v>0</v>
      </c>
      <c r="L121" s="50">
        <f>IFERROR(VLOOKUP(F121,'[1]back office'!$E$4:$F$6,2,FALSE),"-")</f>
        <v>15</v>
      </c>
      <c r="M121" s="50">
        <f>IFERROR(VLOOKUP(G121,'[1]back office'!$G$4:$H$6,2,FALSE),"-")</f>
        <v>15</v>
      </c>
      <c r="N121" s="50">
        <f>IFERROR(VLOOKUP(H121,'[1]back office'!$I$4:$J$6,2,FALSE),"-")</f>
        <v>0</v>
      </c>
      <c r="O121" s="50">
        <f>IFERROR(VLOOKUP(I121,'[1]back office'!$K$4:$L$6,2,FALSE),"-")</f>
        <v>35</v>
      </c>
      <c r="P121" s="51">
        <f t="shared" si="67"/>
        <v>90</v>
      </c>
      <c r="Q121" s="49" t="s">
        <v>54</v>
      </c>
      <c r="R121" s="49" t="s">
        <v>57</v>
      </c>
      <c r="S121" s="49" t="s">
        <v>58</v>
      </c>
      <c r="T121" s="50">
        <f>IFERROR(VLOOKUP(Q121,'[1]back office'!$A$11:$B$13,2,FALSE),"-")</f>
        <v>0</v>
      </c>
      <c r="U121" s="50">
        <f>IFERROR(VLOOKUP(R121,'[1]back office'!$C$11:$D$13,2,FALSE),"-")</f>
        <v>0</v>
      </c>
      <c r="V121" s="50" t="str">
        <f>IFERROR(VLOOKUP(S121,'[1]back office'!$E$11:$F$13,2,FALSE),"-")</f>
        <v>-</v>
      </c>
      <c r="W121" s="51">
        <f t="shared" si="68"/>
        <v>0</v>
      </c>
      <c r="X121" s="49" t="s">
        <v>70</v>
      </c>
      <c r="Y121" s="49" t="s">
        <v>84</v>
      </c>
      <c r="Z121" s="49" t="s">
        <v>75</v>
      </c>
      <c r="AA121" s="49" t="s">
        <v>76</v>
      </c>
      <c r="AB121" s="50" t="str">
        <f>IFERROR(VLOOKUP(X121,'[1]back office'!$A$17:$B$19,2,FALSE),"-")</f>
        <v>-</v>
      </c>
      <c r="AC121" s="50">
        <f>IFERROR(VLOOKUP(Y121,'[1]back office'!$C$17:$D$19,2,FALSE),"-")</f>
        <v>5</v>
      </c>
      <c r="AD121" s="50">
        <f>IFERROR(VLOOKUP(Z121,'[1]back office'!$E$17:$F$19,2,FALSE),"-")</f>
        <v>20</v>
      </c>
      <c r="AE121" s="50">
        <f>IFERROR(VLOOKUP(AA121,'[1]back office'!$G$17:$H$19,2,FALSE),"-")</f>
        <v>0</v>
      </c>
      <c r="AF121" s="51">
        <f t="shared" si="69"/>
        <v>25</v>
      </c>
      <c r="AG121" s="49" t="s">
        <v>63</v>
      </c>
      <c r="AH121" s="51">
        <f>IFERROR(VLOOKUP(AG121,'[1]back office'!$A$23:$B$25,2,FALSE),"-")</f>
        <v>0</v>
      </c>
      <c r="AI121" s="49">
        <v>50</v>
      </c>
      <c r="AJ121" s="49">
        <v>15</v>
      </c>
      <c r="AK121" s="49">
        <f t="shared" si="70"/>
        <v>50</v>
      </c>
      <c r="AL121" s="49">
        <v>72</v>
      </c>
      <c r="AM121" s="51">
        <f t="shared" si="71"/>
        <v>122</v>
      </c>
      <c r="AN121" s="49" t="s">
        <v>241</v>
      </c>
      <c r="AO121" s="51" t="str">
        <f>IFERROR(VLOOKUP(AN121,'[1]back office'!$A$36:$B$38,2,FALSE),"-")</f>
        <v>-</v>
      </c>
    </row>
    <row r="122" spans="1:41">
      <c r="A122" s="47" t="s">
        <v>242</v>
      </c>
      <c r="B122" s="50" t="str">
        <f>IF(C122="","",IF(C122&gt;=PQCDSM!$G$4,"AA",IF(AND(C122&gt;=PQCDSM!$G$3,C122&lt;PQCDSM!$G$4),"A",IF(AND(C122&gt;=PQCDSM!$G$2,C122&lt;PQCDSM!$G$3),"B","C"))))</f>
        <v>A</v>
      </c>
      <c r="C122" s="50">
        <f t="shared" si="66"/>
        <v>238</v>
      </c>
      <c r="D122" s="49" t="s">
        <v>50</v>
      </c>
      <c r="E122" s="49" t="s">
        <v>73</v>
      </c>
      <c r="F122" s="49" t="s">
        <v>74</v>
      </c>
      <c r="G122" s="49" t="s">
        <v>53</v>
      </c>
      <c r="H122" s="49" t="s">
        <v>54</v>
      </c>
      <c r="I122" s="49" t="s">
        <v>55</v>
      </c>
      <c r="J122" s="50">
        <f>IFERROR(VLOOKUP(D122,'[1]back office'!$A$4:$B$6,2,FALSE),"-")</f>
        <v>25</v>
      </c>
      <c r="K122" s="50">
        <f>IFERROR(VLOOKUP(E122,'[1]back office'!$C$4:$D$6,2,FALSE),"-")</f>
        <v>0</v>
      </c>
      <c r="L122" s="50">
        <f>IFERROR(VLOOKUP(F122,'[1]back office'!$E$4:$F$6,2,FALSE),"-")</f>
        <v>15</v>
      </c>
      <c r="M122" s="50">
        <f>IFERROR(VLOOKUP(G122,'[1]back office'!$G$4:$H$6,2,FALSE),"-")</f>
        <v>15</v>
      </c>
      <c r="N122" s="50">
        <f>IFERROR(VLOOKUP(H122,'[1]back office'!$I$4:$J$6,2,FALSE),"-")</f>
        <v>0</v>
      </c>
      <c r="O122" s="50">
        <f>IFERROR(VLOOKUP(I122,'[1]back office'!$K$4:$L$6,2,FALSE),"-")</f>
        <v>35</v>
      </c>
      <c r="P122" s="51">
        <f t="shared" si="67"/>
        <v>90</v>
      </c>
      <c r="Q122" s="49" t="s">
        <v>54</v>
      </c>
      <c r="R122" s="49" t="s">
        <v>57</v>
      </c>
      <c r="S122" s="49" t="s">
        <v>58</v>
      </c>
      <c r="T122" s="50">
        <f>IFERROR(VLOOKUP(Q122,'[1]back office'!$A$11:$B$13,2,FALSE),"-")</f>
        <v>0</v>
      </c>
      <c r="U122" s="50">
        <f>IFERROR(VLOOKUP(R122,'[1]back office'!$C$11:$D$13,2,FALSE),"-")</f>
        <v>0</v>
      </c>
      <c r="V122" s="50" t="str">
        <f>IFERROR(VLOOKUP(S122,'[1]back office'!$E$11:$F$13,2,FALSE),"-")</f>
        <v>-</v>
      </c>
      <c r="W122" s="51">
        <f t="shared" si="68"/>
        <v>0</v>
      </c>
      <c r="X122" s="49" t="s">
        <v>70</v>
      </c>
      <c r="Y122" s="49" t="s">
        <v>84</v>
      </c>
      <c r="Z122" s="49" t="s">
        <v>75</v>
      </c>
      <c r="AA122" s="49" t="s">
        <v>76</v>
      </c>
      <c r="AB122" s="50" t="str">
        <f>IFERROR(VLOOKUP(X122,'[1]back office'!$A$17:$B$19,2,FALSE),"-")</f>
        <v>-</v>
      </c>
      <c r="AC122" s="50">
        <f>IFERROR(VLOOKUP(Y122,'[1]back office'!$C$17:$D$19,2,FALSE),"-")</f>
        <v>5</v>
      </c>
      <c r="AD122" s="50">
        <f>IFERROR(VLOOKUP(Z122,'[1]back office'!$E$17:$F$19,2,FALSE),"-")</f>
        <v>20</v>
      </c>
      <c r="AE122" s="50">
        <f>IFERROR(VLOOKUP(AA122,'[1]back office'!$G$17:$H$19,2,FALSE),"-")</f>
        <v>0</v>
      </c>
      <c r="AF122" s="51">
        <f t="shared" si="69"/>
        <v>25</v>
      </c>
      <c r="AG122" s="49" t="s">
        <v>63</v>
      </c>
      <c r="AH122" s="51">
        <f>IFERROR(VLOOKUP(AG122,'[1]back office'!$A$23:$B$25,2,FALSE),"-")</f>
        <v>0</v>
      </c>
      <c r="AI122" s="49">
        <v>50</v>
      </c>
      <c r="AJ122" s="49">
        <v>15</v>
      </c>
      <c r="AK122" s="49">
        <f t="shared" si="70"/>
        <v>50</v>
      </c>
      <c r="AL122" s="49">
        <v>73</v>
      </c>
      <c r="AM122" s="51">
        <f t="shared" si="71"/>
        <v>123</v>
      </c>
      <c r="AN122" s="49" t="s">
        <v>243</v>
      </c>
      <c r="AO122" s="51" t="str">
        <f>IFERROR(VLOOKUP(AN122,'[1]back office'!$A$36:$B$38,2,FALSE),"-")</f>
        <v>-</v>
      </c>
    </row>
    <row r="123" spans="1:41">
      <c r="A123" s="47" t="s">
        <v>244</v>
      </c>
      <c r="B123" s="50" t="str">
        <f>IF(C123="","",IF(C123&gt;=PQCDSM!$G$4,"AA",IF(AND(C123&gt;=PQCDSM!$G$3,C123&lt;PQCDSM!$G$4),"A",IF(AND(C123&gt;=PQCDSM!$G$2,C123&lt;PQCDSM!$G$3),"B","C"))))</f>
        <v>A</v>
      </c>
      <c r="C123" s="50">
        <f t="shared" si="66"/>
        <v>239</v>
      </c>
      <c r="D123" s="49" t="s">
        <v>50</v>
      </c>
      <c r="E123" s="49" t="s">
        <v>73</v>
      </c>
      <c r="F123" s="49" t="s">
        <v>74</v>
      </c>
      <c r="G123" s="49" t="s">
        <v>53</v>
      </c>
      <c r="H123" s="49" t="s">
        <v>54</v>
      </c>
      <c r="I123" s="49" t="s">
        <v>55</v>
      </c>
      <c r="J123" s="50">
        <f>IFERROR(VLOOKUP(D123,'[1]back office'!$A$4:$B$6,2,FALSE),"-")</f>
        <v>25</v>
      </c>
      <c r="K123" s="50">
        <f>IFERROR(VLOOKUP(E123,'[1]back office'!$C$4:$D$6,2,FALSE),"-")</f>
        <v>0</v>
      </c>
      <c r="L123" s="50">
        <f>IFERROR(VLOOKUP(F123,'[1]back office'!$E$4:$F$6,2,FALSE),"-")</f>
        <v>15</v>
      </c>
      <c r="M123" s="50">
        <f>IFERROR(VLOOKUP(G123,'[1]back office'!$G$4:$H$6,2,FALSE),"-")</f>
        <v>15</v>
      </c>
      <c r="N123" s="50">
        <f>IFERROR(VLOOKUP(H123,'[1]back office'!$I$4:$J$6,2,FALSE),"-")</f>
        <v>0</v>
      </c>
      <c r="O123" s="50">
        <f>IFERROR(VLOOKUP(I123,'[1]back office'!$K$4:$L$6,2,FALSE),"-")</f>
        <v>35</v>
      </c>
      <c r="P123" s="51">
        <f t="shared" si="67"/>
        <v>90</v>
      </c>
      <c r="Q123" s="49" t="s">
        <v>54</v>
      </c>
      <c r="R123" s="49" t="s">
        <v>57</v>
      </c>
      <c r="S123" s="49" t="s">
        <v>58</v>
      </c>
      <c r="T123" s="50">
        <f>IFERROR(VLOOKUP(Q123,'[1]back office'!$A$11:$B$13,2,FALSE),"-")</f>
        <v>0</v>
      </c>
      <c r="U123" s="50">
        <f>IFERROR(VLOOKUP(R123,'[1]back office'!$C$11:$D$13,2,FALSE),"-")</f>
        <v>0</v>
      </c>
      <c r="V123" s="50" t="str">
        <f>IFERROR(VLOOKUP(S123,'[1]back office'!$E$11:$F$13,2,FALSE),"-")</f>
        <v>-</v>
      </c>
      <c r="W123" s="51">
        <f t="shared" si="68"/>
        <v>0</v>
      </c>
      <c r="X123" s="49" t="s">
        <v>70</v>
      </c>
      <c r="Y123" s="49" t="s">
        <v>84</v>
      </c>
      <c r="Z123" s="49" t="s">
        <v>75</v>
      </c>
      <c r="AA123" s="49" t="s">
        <v>76</v>
      </c>
      <c r="AB123" s="50" t="str">
        <f>IFERROR(VLOOKUP(X123,'[1]back office'!$A$17:$B$19,2,FALSE),"-")</f>
        <v>-</v>
      </c>
      <c r="AC123" s="50">
        <f>IFERROR(VLOOKUP(Y123,'[1]back office'!$C$17:$D$19,2,FALSE),"-")</f>
        <v>5</v>
      </c>
      <c r="AD123" s="50">
        <f>IFERROR(VLOOKUP(Z123,'[1]back office'!$E$17:$F$19,2,FALSE),"-")</f>
        <v>20</v>
      </c>
      <c r="AE123" s="50">
        <f>IFERROR(VLOOKUP(AA123,'[1]back office'!$G$17:$H$19,2,FALSE),"-")</f>
        <v>0</v>
      </c>
      <c r="AF123" s="51">
        <f t="shared" si="69"/>
        <v>25</v>
      </c>
      <c r="AG123" s="49" t="s">
        <v>63</v>
      </c>
      <c r="AH123" s="51">
        <f>IFERROR(VLOOKUP(AG123,'[1]back office'!$A$23:$B$25,2,FALSE),"-")</f>
        <v>0</v>
      </c>
      <c r="AI123" s="49">
        <v>50</v>
      </c>
      <c r="AJ123" s="49">
        <v>15</v>
      </c>
      <c r="AK123" s="49">
        <f t="shared" si="70"/>
        <v>50</v>
      </c>
      <c r="AL123" s="49">
        <v>74</v>
      </c>
      <c r="AM123" s="51">
        <f t="shared" si="71"/>
        <v>124</v>
      </c>
      <c r="AN123" s="49" t="s">
        <v>245</v>
      </c>
      <c r="AO123" s="51" t="str">
        <f>IFERROR(VLOOKUP(AN123,'[1]back office'!$A$36:$B$38,2,FALSE),"-")</f>
        <v>-</v>
      </c>
    </row>
    <row r="124" spans="1:41">
      <c r="A124" s="47" t="s">
        <v>246</v>
      </c>
      <c r="B124" s="50" t="str">
        <f>IF(C124="","",IF(C124&gt;=PQCDSM!$G$4,"AA",IF(AND(C124&gt;=PQCDSM!$G$3,C124&lt;PQCDSM!$G$4),"A",IF(AND(C124&gt;=PQCDSM!$G$2,C124&lt;PQCDSM!$G$3),"B","C"))))</f>
        <v>A</v>
      </c>
      <c r="C124" s="50">
        <f t="shared" si="66"/>
        <v>220</v>
      </c>
      <c r="D124" s="49" t="s">
        <v>50</v>
      </c>
      <c r="E124" s="49" t="s">
        <v>92</v>
      </c>
      <c r="F124" s="49" t="s">
        <v>74</v>
      </c>
      <c r="G124" s="49" t="s">
        <v>53</v>
      </c>
      <c r="H124" s="49" t="s">
        <v>54</v>
      </c>
      <c r="I124" s="49" t="s">
        <v>78</v>
      </c>
      <c r="J124" s="50">
        <f>IFERROR(VLOOKUP(D124,'[1]back office'!$A$4:$B$6,2,FALSE),"-")</f>
        <v>25</v>
      </c>
      <c r="K124" s="50">
        <f>IFERROR(VLOOKUP(E124,'[1]back office'!$C$4:$D$6,2,FALSE),"-")</f>
        <v>15</v>
      </c>
      <c r="L124" s="50">
        <f>IFERROR(VLOOKUP(F124,'[1]back office'!$E$4:$F$6,2,FALSE),"-")</f>
        <v>15</v>
      </c>
      <c r="M124" s="50">
        <f>IFERROR(VLOOKUP(G124,'[1]back office'!$G$4:$H$6,2,FALSE),"-")</f>
        <v>15</v>
      </c>
      <c r="N124" s="50">
        <f>IFERROR(VLOOKUP(H124,'[1]back office'!$I$4:$J$6,2,FALSE),"-")</f>
        <v>0</v>
      </c>
      <c r="O124" s="50" t="str">
        <f>IFERROR(VLOOKUP(I124,'[1]back office'!$K$4:$L$6,2,FALSE),"-")</f>
        <v>-</v>
      </c>
      <c r="P124" s="51">
        <f t="shared" si="67"/>
        <v>70</v>
      </c>
      <c r="Q124" s="49" t="s">
        <v>54</v>
      </c>
      <c r="R124" s="49" t="s">
        <v>57</v>
      </c>
      <c r="S124" s="49" t="s">
        <v>58</v>
      </c>
      <c r="T124" s="50">
        <f>IFERROR(VLOOKUP(Q124,'[1]back office'!$A$11:$B$13,2,FALSE),"-")</f>
        <v>0</v>
      </c>
      <c r="U124" s="50">
        <f>IFERROR(VLOOKUP(R124,'[1]back office'!$C$11:$D$13,2,FALSE),"-")</f>
        <v>0</v>
      </c>
      <c r="V124" s="50" t="str">
        <f>IFERROR(VLOOKUP(S124,'[1]back office'!$E$11:$F$13,2,FALSE),"-")</f>
        <v>-</v>
      </c>
      <c r="W124" s="51">
        <f t="shared" si="68"/>
        <v>0</v>
      </c>
      <c r="X124" s="49" t="s">
        <v>70</v>
      </c>
      <c r="Y124" s="49" t="s">
        <v>84</v>
      </c>
      <c r="Z124" s="49" t="s">
        <v>75</v>
      </c>
      <c r="AA124" s="49" t="s">
        <v>76</v>
      </c>
      <c r="AB124" s="50" t="str">
        <f>IFERROR(VLOOKUP(X124,'[1]back office'!$A$17:$B$19,2,FALSE),"-")</f>
        <v>-</v>
      </c>
      <c r="AC124" s="50">
        <f>IFERROR(VLOOKUP(Y124,'[1]back office'!$C$17:$D$19,2,FALSE),"-")</f>
        <v>5</v>
      </c>
      <c r="AD124" s="50">
        <f>IFERROR(VLOOKUP(Z124,'[1]back office'!$E$17:$F$19,2,FALSE),"-")</f>
        <v>20</v>
      </c>
      <c r="AE124" s="50">
        <f>IFERROR(VLOOKUP(AA124,'[1]back office'!$G$17:$H$19,2,FALSE),"-")</f>
        <v>0</v>
      </c>
      <c r="AF124" s="51">
        <f t="shared" si="69"/>
        <v>25</v>
      </c>
      <c r="AG124" s="49" t="s">
        <v>63</v>
      </c>
      <c r="AH124" s="51">
        <f>IFERROR(VLOOKUP(AG124,'[1]back office'!$A$23:$B$25,2,FALSE),"-")</f>
        <v>0</v>
      </c>
      <c r="AI124" s="49">
        <v>50</v>
      </c>
      <c r="AJ124" s="49">
        <v>15</v>
      </c>
      <c r="AK124" s="49">
        <f t="shared" si="70"/>
        <v>50</v>
      </c>
      <c r="AL124" s="49">
        <v>75</v>
      </c>
      <c r="AM124" s="51">
        <f t="shared" si="71"/>
        <v>125</v>
      </c>
      <c r="AN124" s="49" t="s">
        <v>247</v>
      </c>
      <c r="AO124" s="51" t="str">
        <f>IFERROR(VLOOKUP(AN124,'[1]back office'!$A$36:$B$38,2,FALSE),"-")</f>
        <v>-</v>
      </c>
    </row>
    <row r="125" spans="1:41">
      <c r="A125" s="47" t="s">
        <v>248</v>
      </c>
      <c r="B125" s="50" t="str">
        <f>IF(C125="","",IF(C125&gt;=PQCDSM!$G$4,"AA",IF(AND(C125&gt;=PQCDSM!$G$3,C125&lt;PQCDSM!$G$4),"A",IF(AND(C125&gt;=PQCDSM!$G$2,C125&lt;PQCDSM!$G$3),"B","C"))))</f>
        <v>A</v>
      </c>
      <c r="C125" s="50">
        <f t="shared" si="66"/>
        <v>241</v>
      </c>
      <c r="D125" s="49" t="s">
        <v>50</v>
      </c>
      <c r="E125" s="49" t="s">
        <v>73</v>
      </c>
      <c r="F125" s="49" t="s">
        <v>74</v>
      </c>
      <c r="G125" s="49" t="s">
        <v>53</v>
      </c>
      <c r="H125" s="49" t="s">
        <v>54</v>
      </c>
      <c r="I125" s="49" t="s">
        <v>55</v>
      </c>
      <c r="J125" s="50">
        <f>IFERROR(VLOOKUP(D125,'[1]back office'!$A$4:$B$6,2,FALSE),"-")</f>
        <v>25</v>
      </c>
      <c r="K125" s="50">
        <f>IFERROR(VLOOKUP(E125,'[1]back office'!$C$4:$D$6,2,FALSE),"-")</f>
        <v>0</v>
      </c>
      <c r="L125" s="50">
        <f>IFERROR(VLOOKUP(F125,'[1]back office'!$E$4:$F$6,2,FALSE),"-")</f>
        <v>15</v>
      </c>
      <c r="M125" s="50">
        <f>IFERROR(VLOOKUP(G125,'[1]back office'!$G$4:$H$6,2,FALSE),"-")</f>
        <v>15</v>
      </c>
      <c r="N125" s="50">
        <f>IFERROR(VLOOKUP(H125,'[1]back office'!$I$4:$J$6,2,FALSE),"-")</f>
        <v>0</v>
      </c>
      <c r="O125" s="50">
        <f>IFERROR(VLOOKUP(I125,'[1]back office'!$K$4:$L$6,2,FALSE),"-")</f>
        <v>35</v>
      </c>
      <c r="P125" s="51">
        <f t="shared" si="67"/>
        <v>90</v>
      </c>
      <c r="Q125" s="49" t="s">
        <v>54</v>
      </c>
      <c r="R125" s="49" t="s">
        <v>57</v>
      </c>
      <c r="S125" s="49" t="s">
        <v>58</v>
      </c>
      <c r="T125" s="50">
        <f>IFERROR(VLOOKUP(Q125,'[1]back office'!$A$11:$B$13,2,FALSE),"-")</f>
        <v>0</v>
      </c>
      <c r="U125" s="50">
        <f>IFERROR(VLOOKUP(R125,'[1]back office'!$C$11:$D$13,2,FALSE),"-")</f>
        <v>0</v>
      </c>
      <c r="V125" s="50" t="str">
        <f>IFERROR(VLOOKUP(S125,'[1]back office'!$E$11:$F$13,2,FALSE),"-")</f>
        <v>-</v>
      </c>
      <c r="W125" s="51">
        <f t="shared" si="68"/>
        <v>0</v>
      </c>
      <c r="X125" s="49" t="s">
        <v>70</v>
      </c>
      <c r="Y125" s="49" t="s">
        <v>84</v>
      </c>
      <c r="Z125" s="49" t="s">
        <v>75</v>
      </c>
      <c r="AA125" s="49" t="s">
        <v>76</v>
      </c>
      <c r="AB125" s="50" t="str">
        <f>IFERROR(VLOOKUP(X125,'[1]back office'!$A$17:$B$19,2,FALSE),"-")</f>
        <v>-</v>
      </c>
      <c r="AC125" s="50">
        <f>IFERROR(VLOOKUP(Y125,'[1]back office'!$C$17:$D$19,2,FALSE),"-")</f>
        <v>5</v>
      </c>
      <c r="AD125" s="50">
        <f>IFERROR(VLOOKUP(Z125,'[1]back office'!$E$17:$F$19,2,FALSE),"-")</f>
        <v>20</v>
      </c>
      <c r="AE125" s="50">
        <f>IFERROR(VLOOKUP(AA125,'[1]back office'!$G$17:$H$19,2,FALSE),"-")</f>
        <v>0</v>
      </c>
      <c r="AF125" s="51">
        <f t="shared" si="69"/>
        <v>25</v>
      </c>
      <c r="AG125" s="49" t="s">
        <v>63</v>
      </c>
      <c r="AH125" s="51">
        <f>IFERROR(VLOOKUP(AG125,'[1]back office'!$A$23:$B$25,2,FALSE),"-")</f>
        <v>0</v>
      </c>
      <c r="AI125" s="49">
        <v>50</v>
      </c>
      <c r="AJ125" s="49">
        <v>15</v>
      </c>
      <c r="AK125" s="49">
        <f t="shared" si="70"/>
        <v>50</v>
      </c>
      <c r="AL125" s="49">
        <v>76</v>
      </c>
      <c r="AM125" s="51">
        <f t="shared" si="71"/>
        <v>126</v>
      </c>
      <c r="AN125" s="49" t="s">
        <v>249</v>
      </c>
      <c r="AO125" s="51" t="str">
        <f>IFERROR(VLOOKUP(AN125,'[1]back office'!$A$36:$B$38,2,FALSE),"-")</f>
        <v>-</v>
      </c>
    </row>
    <row r="126" spans="1:41">
      <c r="A126" s="47" t="s">
        <v>250</v>
      </c>
      <c r="B126" s="50" t="str">
        <f>IF(C126="","",IF(C126&gt;=PQCDSM!$G$4,"AA",IF(AND(C126&gt;=PQCDSM!$G$3,C126&lt;PQCDSM!$G$4),"A",IF(AND(C126&gt;=PQCDSM!$G$2,C126&lt;PQCDSM!$G$3),"B","C"))))</f>
        <v>A</v>
      </c>
      <c r="C126" s="50">
        <f t="shared" si="66"/>
        <v>242</v>
      </c>
      <c r="D126" s="49" t="s">
        <v>50</v>
      </c>
      <c r="E126" s="49" t="s">
        <v>73</v>
      </c>
      <c r="F126" s="49" t="s">
        <v>74</v>
      </c>
      <c r="G126" s="49" t="s">
        <v>53</v>
      </c>
      <c r="H126" s="49" t="s">
        <v>54</v>
      </c>
      <c r="I126" s="49" t="s">
        <v>55</v>
      </c>
      <c r="J126" s="50">
        <f>IFERROR(VLOOKUP(D126,'[1]back office'!$A$4:$B$6,2,FALSE),"-")</f>
        <v>25</v>
      </c>
      <c r="K126" s="50">
        <f>IFERROR(VLOOKUP(E126,'[1]back office'!$C$4:$D$6,2,FALSE),"-")</f>
        <v>0</v>
      </c>
      <c r="L126" s="50">
        <f>IFERROR(VLOOKUP(F126,'[1]back office'!$E$4:$F$6,2,FALSE),"-")</f>
        <v>15</v>
      </c>
      <c r="M126" s="50">
        <f>IFERROR(VLOOKUP(G126,'[1]back office'!$G$4:$H$6,2,FALSE),"-")</f>
        <v>15</v>
      </c>
      <c r="N126" s="50">
        <f>IFERROR(VLOOKUP(H126,'[1]back office'!$I$4:$J$6,2,FALSE),"-")</f>
        <v>0</v>
      </c>
      <c r="O126" s="50">
        <f>IFERROR(VLOOKUP(I126,'[1]back office'!$K$4:$L$6,2,FALSE),"-")</f>
        <v>35</v>
      </c>
      <c r="P126" s="51">
        <f t="shared" si="67"/>
        <v>90</v>
      </c>
      <c r="Q126" s="49" t="s">
        <v>54</v>
      </c>
      <c r="R126" s="49" t="s">
        <v>57</v>
      </c>
      <c r="S126" s="49" t="s">
        <v>58</v>
      </c>
      <c r="T126" s="50">
        <f>IFERROR(VLOOKUP(Q126,'[1]back office'!$A$11:$B$13,2,FALSE),"-")</f>
        <v>0</v>
      </c>
      <c r="U126" s="50">
        <f>IFERROR(VLOOKUP(R126,'[1]back office'!$C$11:$D$13,2,FALSE),"-")</f>
        <v>0</v>
      </c>
      <c r="V126" s="50" t="str">
        <f>IFERROR(VLOOKUP(S126,'[1]back office'!$E$11:$F$13,2,FALSE),"-")</f>
        <v>-</v>
      </c>
      <c r="W126" s="51">
        <f t="shared" si="68"/>
        <v>0</v>
      </c>
      <c r="X126" s="49" t="s">
        <v>70</v>
      </c>
      <c r="Y126" s="49" t="s">
        <v>84</v>
      </c>
      <c r="Z126" s="49" t="s">
        <v>75</v>
      </c>
      <c r="AA126" s="49" t="s">
        <v>76</v>
      </c>
      <c r="AB126" s="50" t="str">
        <f>IFERROR(VLOOKUP(X126,'[1]back office'!$A$17:$B$19,2,FALSE),"-")</f>
        <v>-</v>
      </c>
      <c r="AC126" s="50">
        <f>IFERROR(VLOOKUP(Y126,'[1]back office'!$C$17:$D$19,2,FALSE),"-")</f>
        <v>5</v>
      </c>
      <c r="AD126" s="50">
        <f>IFERROR(VLOOKUP(Z126,'[1]back office'!$E$17:$F$19,2,FALSE),"-")</f>
        <v>20</v>
      </c>
      <c r="AE126" s="50">
        <f>IFERROR(VLOOKUP(AA126,'[1]back office'!$G$17:$H$19,2,FALSE),"-")</f>
        <v>0</v>
      </c>
      <c r="AF126" s="51">
        <f t="shared" si="69"/>
        <v>25</v>
      </c>
      <c r="AG126" s="49" t="s">
        <v>63</v>
      </c>
      <c r="AH126" s="51">
        <f>IFERROR(VLOOKUP(AG126,'[1]back office'!$A$23:$B$25,2,FALSE),"-")</f>
        <v>0</v>
      </c>
      <c r="AI126" s="49">
        <v>50</v>
      </c>
      <c r="AJ126" s="49">
        <v>15</v>
      </c>
      <c r="AK126" s="49">
        <f t="shared" si="70"/>
        <v>50</v>
      </c>
      <c r="AL126" s="49">
        <v>77</v>
      </c>
      <c r="AM126" s="51">
        <f t="shared" si="71"/>
        <v>127</v>
      </c>
      <c r="AN126" s="49" t="s">
        <v>251</v>
      </c>
      <c r="AO126" s="51" t="str">
        <f>IFERROR(VLOOKUP(AN126,'[1]back office'!$A$36:$B$38,2,FALSE),"-")</f>
        <v>-</v>
      </c>
    </row>
    <row r="127" spans="1:41">
      <c r="A127" s="47" t="s">
        <v>252</v>
      </c>
      <c r="B127" s="50" t="str">
        <f>IF(C127="","",IF(C127&gt;=PQCDSM!$G$4,"AA",IF(AND(C127&gt;=PQCDSM!$G$3,C127&lt;PQCDSM!$G$4),"A",IF(AND(C127&gt;=PQCDSM!$G$2,C127&lt;PQCDSM!$G$3),"B","C"))))</f>
        <v>A</v>
      </c>
      <c r="C127" s="50">
        <f t="shared" si="66"/>
        <v>243</v>
      </c>
      <c r="D127" s="49" t="s">
        <v>50</v>
      </c>
      <c r="E127" s="49" t="s">
        <v>73</v>
      </c>
      <c r="F127" s="49" t="s">
        <v>74</v>
      </c>
      <c r="G127" s="49" t="s">
        <v>53</v>
      </c>
      <c r="H127" s="49" t="s">
        <v>54</v>
      </c>
      <c r="I127" s="49" t="s">
        <v>55</v>
      </c>
      <c r="J127" s="50">
        <f>IFERROR(VLOOKUP(D127,'[1]back office'!$A$4:$B$6,2,FALSE),"-")</f>
        <v>25</v>
      </c>
      <c r="K127" s="50">
        <f>IFERROR(VLOOKUP(E127,'[1]back office'!$C$4:$D$6,2,FALSE),"-")</f>
        <v>0</v>
      </c>
      <c r="L127" s="50">
        <f>IFERROR(VLOOKUP(F127,'[1]back office'!$E$4:$F$6,2,FALSE),"-")</f>
        <v>15</v>
      </c>
      <c r="M127" s="50">
        <f>IFERROR(VLOOKUP(G127,'[1]back office'!$G$4:$H$6,2,FALSE),"-")</f>
        <v>15</v>
      </c>
      <c r="N127" s="50">
        <f>IFERROR(VLOOKUP(H127,'[1]back office'!$I$4:$J$6,2,FALSE),"-")</f>
        <v>0</v>
      </c>
      <c r="O127" s="50">
        <f>IFERROR(VLOOKUP(I127,'[1]back office'!$K$4:$L$6,2,FALSE),"-")</f>
        <v>35</v>
      </c>
      <c r="P127" s="51">
        <f t="shared" si="67"/>
        <v>90</v>
      </c>
      <c r="Q127" s="49" t="s">
        <v>54</v>
      </c>
      <c r="R127" s="49" t="s">
        <v>57</v>
      </c>
      <c r="S127" s="49" t="s">
        <v>58</v>
      </c>
      <c r="T127" s="50">
        <f>IFERROR(VLOOKUP(Q127,'[1]back office'!$A$11:$B$13,2,FALSE),"-")</f>
        <v>0</v>
      </c>
      <c r="U127" s="50">
        <f>IFERROR(VLOOKUP(R127,'[1]back office'!$C$11:$D$13,2,FALSE),"-")</f>
        <v>0</v>
      </c>
      <c r="V127" s="50" t="str">
        <f>IFERROR(VLOOKUP(S127,'[1]back office'!$E$11:$F$13,2,FALSE),"-")</f>
        <v>-</v>
      </c>
      <c r="W127" s="51">
        <f t="shared" si="68"/>
        <v>0</v>
      </c>
      <c r="X127" s="49" t="s">
        <v>70</v>
      </c>
      <c r="Y127" s="49" t="s">
        <v>84</v>
      </c>
      <c r="Z127" s="49" t="s">
        <v>75</v>
      </c>
      <c r="AA127" s="49" t="s">
        <v>76</v>
      </c>
      <c r="AB127" s="50" t="str">
        <f>IFERROR(VLOOKUP(X127,'[1]back office'!$A$17:$B$19,2,FALSE),"-")</f>
        <v>-</v>
      </c>
      <c r="AC127" s="50">
        <f>IFERROR(VLOOKUP(Y127,'[1]back office'!$C$17:$D$19,2,FALSE),"-")</f>
        <v>5</v>
      </c>
      <c r="AD127" s="50">
        <f>IFERROR(VLOOKUP(Z127,'[1]back office'!$E$17:$F$19,2,FALSE),"-")</f>
        <v>20</v>
      </c>
      <c r="AE127" s="50">
        <f>IFERROR(VLOOKUP(AA127,'[1]back office'!$G$17:$H$19,2,FALSE),"-")</f>
        <v>0</v>
      </c>
      <c r="AF127" s="51">
        <f t="shared" si="69"/>
        <v>25</v>
      </c>
      <c r="AG127" s="49" t="s">
        <v>63</v>
      </c>
      <c r="AH127" s="51">
        <f>IFERROR(VLOOKUP(AG127,'[1]back office'!$A$23:$B$25,2,FALSE),"-")</f>
        <v>0</v>
      </c>
      <c r="AI127" s="49">
        <v>50</v>
      </c>
      <c r="AJ127" s="49">
        <v>15</v>
      </c>
      <c r="AK127" s="49">
        <f t="shared" si="70"/>
        <v>50</v>
      </c>
      <c r="AL127" s="49">
        <v>78</v>
      </c>
      <c r="AM127" s="51">
        <f t="shared" si="71"/>
        <v>128</v>
      </c>
      <c r="AN127" s="49" t="s">
        <v>253</v>
      </c>
      <c r="AO127" s="51" t="str">
        <f>IFERROR(VLOOKUP(AN127,'[1]back office'!$A$36:$B$38,2,FALSE),"-")</f>
        <v>-</v>
      </c>
    </row>
    <row r="128" spans="1:41">
      <c r="A128" s="47" t="s">
        <v>254</v>
      </c>
      <c r="B128" s="50" t="str">
        <f>IF(C128="","",IF(C128&gt;=PQCDSM!$G$4,"AA",IF(AND(C128&gt;=PQCDSM!$G$3,C128&lt;PQCDSM!$G$4),"A",IF(AND(C128&gt;=PQCDSM!$G$2,C128&lt;PQCDSM!$G$3),"B","C"))))</f>
        <v>A</v>
      </c>
      <c r="C128" s="50">
        <f t="shared" si="66"/>
        <v>244</v>
      </c>
      <c r="D128" s="49" t="s">
        <v>50</v>
      </c>
      <c r="E128" s="49" t="s">
        <v>73</v>
      </c>
      <c r="F128" s="49" t="s">
        <v>74</v>
      </c>
      <c r="G128" s="49" t="s">
        <v>53</v>
      </c>
      <c r="H128" s="49" t="s">
        <v>54</v>
      </c>
      <c r="I128" s="49" t="s">
        <v>55</v>
      </c>
      <c r="J128" s="50">
        <f>IFERROR(VLOOKUP(D128,'[1]back office'!$A$4:$B$6,2,FALSE),"-")</f>
        <v>25</v>
      </c>
      <c r="K128" s="50">
        <f>IFERROR(VLOOKUP(E128,'[1]back office'!$C$4:$D$6,2,FALSE),"-")</f>
        <v>0</v>
      </c>
      <c r="L128" s="50">
        <f>IFERROR(VLOOKUP(F128,'[1]back office'!$E$4:$F$6,2,FALSE),"-")</f>
        <v>15</v>
      </c>
      <c r="M128" s="50">
        <f>IFERROR(VLOOKUP(G128,'[1]back office'!$G$4:$H$6,2,FALSE),"-")</f>
        <v>15</v>
      </c>
      <c r="N128" s="50">
        <f>IFERROR(VLOOKUP(H128,'[1]back office'!$I$4:$J$6,2,FALSE),"-")</f>
        <v>0</v>
      </c>
      <c r="O128" s="50">
        <f>IFERROR(VLOOKUP(I128,'[1]back office'!$K$4:$L$6,2,FALSE),"-")</f>
        <v>35</v>
      </c>
      <c r="P128" s="51">
        <f t="shared" si="67"/>
        <v>90</v>
      </c>
      <c r="Q128" s="49" t="s">
        <v>54</v>
      </c>
      <c r="R128" s="49" t="s">
        <v>57</v>
      </c>
      <c r="S128" s="49" t="s">
        <v>58</v>
      </c>
      <c r="T128" s="50">
        <f>IFERROR(VLOOKUP(Q128,'[1]back office'!$A$11:$B$13,2,FALSE),"-")</f>
        <v>0</v>
      </c>
      <c r="U128" s="50">
        <f>IFERROR(VLOOKUP(R128,'[1]back office'!$C$11:$D$13,2,FALSE),"-")</f>
        <v>0</v>
      </c>
      <c r="V128" s="50" t="str">
        <f>IFERROR(VLOOKUP(S128,'[1]back office'!$E$11:$F$13,2,FALSE),"-")</f>
        <v>-</v>
      </c>
      <c r="W128" s="51">
        <f t="shared" si="68"/>
        <v>0</v>
      </c>
      <c r="X128" s="49" t="s">
        <v>70</v>
      </c>
      <c r="Y128" s="49" t="s">
        <v>84</v>
      </c>
      <c r="Z128" s="49" t="s">
        <v>75</v>
      </c>
      <c r="AA128" s="49" t="s">
        <v>76</v>
      </c>
      <c r="AB128" s="50" t="str">
        <f>IFERROR(VLOOKUP(X128,'[1]back office'!$A$17:$B$19,2,FALSE),"-")</f>
        <v>-</v>
      </c>
      <c r="AC128" s="50">
        <f>IFERROR(VLOOKUP(Y128,'[1]back office'!$C$17:$D$19,2,FALSE),"-")</f>
        <v>5</v>
      </c>
      <c r="AD128" s="50">
        <f>IFERROR(VLOOKUP(Z128,'[1]back office'!$E$17:$F$19,2,FALSE),"-")</f>
        <v>20</v>
      </c>
      <c r="AE128" s="50">
        <f>IFERROR(VLOOKUP(AA128,'[1]back office'!$G$17:$H$19,2,FALSE),"-")</f>
        <v>0</v>
      </c>
      <c r="AF128" s="51">
        <f t="shared" si="69"/>
        <v>25</v>
      </c>
      <c r="AG128" s="49" t="s">
        <v>63</v>
      </c>
      <c r="AH128" s="51">
        <f>IFERROR(VLOOKUP(AG128,'[1]back office'!$A$23:$B$25,2,FALSE),"-")</f>
        <v>0</v>
      </c>
      <c r="AI128" s="49">
        <v>50</v>
      </c>
      <c r="AJ128" s="49">
        <v>15</v>
      </c>
      <c r="AK128" s="49">
        <f t="shared" si="70"/>
        <v>50</v>
      </c>
      <c r="AL128" s="49">
        <v>79</v>
      </c>
      <c r="AM128" s="51">
        <f t="shared" si="71"/>
        <v>129</v>
      </c>
      <c r="AN128" s="49" t="s">
        <v>255</v>
      </c>
      <c r="AO128" s="51" t="str">
        <f>IFERROR(VLOOKUP(AN128,'[1]back office'!$A$36:$B$38,2,FALSE),"-")</f>
        <v>-</v>
      </c>
    </row>
    <row r="129" spans="1:41">
      <c r="A129" s="47" t="s">
        <v>256</v>
      </c>
      <c r="B129" s="50" t="str">
        <f>IF(C129="","",IF(C129&gt;=PQCDSM!$G$4,"AA",IF(AND(C129&gt;=PQCDSM!$G$3,C129&lt;PQCDSM!$G$4),"A",IF(AND(C129&gt;=PQCDSM!$G$2,C129&lt;PQCDSM!$G$3),"B","C"))))</f>
        <v>A</v>
      </c>
      <c r="C129" s="50">
        <f t="shared" ref="C129:C159" si="72">IF(SUM(P129,W129,AF129,AH129,AM129,AO129)=0,"",SUM(P129,W129,AF129,AH129,AM129,AO129))</f>
        <v>245</v>
      </c>
      <c r="D129" s="49" t="s">
        <v>50</v>
      </c>
      <c r="E129" s="49" t="s">
        <v>73</v>
      </c>
      <c r="F129" s="49" t="s">
        <v>74</v>
      </c>
      <c r="G129" s="49" t="s">
        <v>53</v>
      </c>
      <c r="H129" s="49" t="s">
        <v>54</v>
      </c>
      <c r="I129" s="49" t="s">
        <v>55</v>
      </c>
      <c r="J129" s="50">
        <f>IFERROR(VLOOKUP(D129,'[1]back office'!$A$4:$B$6,2,FALSE),"-")</f>
        <v>25</v>
      </c>
      <c r="K129" s="50">
        <f>IFERROR(VLOOKUP(E129,'[1]back office'!$C$4:$D$6,2,FALSE),"-")</f>
        <v>0</v>
      </c>
      <c r="L129" s="50">
        <f>IFERROR(VLOOKUP(F129,'[1]back office'!$E$4:$F$6,2,FALSE),"-")</f>
        <v>15</v>
      </c>
      <c r="M129" s="50">
        <f>IFERROR(VLOOKUP(G129,'[1]back office'!$G$4:$H$6,2,FALSE),"-")</f>
        <v>15</v>
      </c>
      <c r="N129" s="50">
        <f>IFERROR(VLOOKUP(H129,'[1]back office'!$I$4:$J$6,2,FALSE),"-")</f>
        <v>0</v>
      </c>
      <c r="O129" s="50">
        <f>IFERROR(VLOOKUP(I129,'[1]back office'!$K$4:$L$6,2,FALSE),"-")</f>
        <v>35</v>
      </c>
      <c r="P129" s="51">
        <f t="shared" ref="P129:P159" si="73">SUM(J129:O129)</f>
        <v>90</v>
      </c>
      <c r="Q129" s="49" t="s">
        <v>54</v>
      </c>
      <c r="R129" s="49" t="s">
        <v>57</v>
      </c>
      <c r="S129" s="49" t="s">
        <v>58</v>
      </c>
      <c r="T129" s="50">
        <f>IFERROR(VLOOKUP(Q129,'[1]back office'!$A$11:$B$13,2,FALSE),"-")</f>
        <v>0</v>
      </c>
      <c r="U129" s="50">
        <f>IFERROR(VLOOKUP(R129,'[1]back office'!$C$11:$D$13,2,FALSE),"-")</f>
        <v>0</v>
      </c>
      <c r="V129" s="50" t="str">
        <f>IFERROR(VLOOKUP(S129,'[1]back office'!$E$11:$F$13,2,FALSE),"-")</f>
        <v>-</v>
      </c>
      <c r="W129" s="51">
        <f t="shared" ref="W129:W159" si="74">SUM(T129:V129)</f>
        <v>0</v>
      </c>
      <c r="X129" s="49" t="s">
        <v>70</v>
      </c>
      <c r="Y129" s="49" t="s">
        <v>84</v>
      </c>
      <c r="Z129" s="49" t="s">
        <v>75</v>
      </c>
      <c r="AA129" s="49" t="s">
        <v>76</v>
      </c>
      <c r="AB129" s="50" t="str">
        <f>IFERROR(VLOOKUP(X129,'[1]back office'!$A$17:$B$19,2,FALSE),"-")</f>
        <v>-</v>
      </c>
      <c r="AC129" s="50">
        <f>IFERROR(VLOOKUP(Y129,'[1]back office'!$C$17:$D$19,2,FALSE),"-")</f>
        <v>5</v>
      </c>
      <c r="AD129" s="50">
        <f>IFERROR(VLOOKUP(Z129,'[1]back office'!$E$17:$F$19,2,FALSE),"-")</f>
        <v>20</v>
      </c>
      <c r="AE129" s="50">
        <f>IFERROR(VLOOKUP(AA129,'[1]back office'!$G$17:$H$19,2,FALSE),"-")</f>
        <v>0</v>
      </c>
      <c r="AF129" s="51">
        <f t="shared" ref="AF129:AF159" si="75">SUM(AB129:AE129)</f>
        <v>25</v>
      </c>
      <c r="AG129" s="49" t="s">
        <v>63</v>
      </c>
      <c r="AH129" s="51">
        <f>IFERROR(VLOOKUP(AG129,'[1]back office'!$A$23:$B$25,2,FALSE),"-")</f>
        <v>0</v>
      </c>
      <c r="AI129" s="49">
        <v>50</v>
      </c>
      <c r="AJ129" s="49">
        <v>15</v>
      </c>
      <c r="AK129" s="49">
        <f t="shared" ref="AK129:AK159" si="76">AI129</f>
        <v>50</v>
      </c>
      <c r="AL129" s="49">
        <v>80</v>
      </c>
      <c r="AM129" s="51">
        <f t="shared" ref="AM129:AM159" si="77">+SUM(AK129:AL129)</f>
        <v>130</v>
      </c>
      <c r="AN129" s="49" t="s">
        <v>257</v>
      </c>
      <c r="AO129" s="51" t="str">
        <f>IFERROR(VLOOKUP(AN129,'[1]back office'!$A$36:$B$38,2,FALSE),"-")</f>
        <v>-</v>
      </c>
    </row>
    <row r="130" spans="1:41">
      <c r="A130" s="47" t="s">
        <v>258</v>
      </c>
      <c r="B130" s="50" t="str">
        <f>IF(C130="","",IF(C130&gt;=PQCDSM!$G$4,"AA",IF(AND(C130&gt;=PQCDSM!$G$3,C130&lt;PQCDSM!$G$4),"A",IF(AND(C130&gt;=PQCDSM!$G$2,C130&lt;PQCDSM!$G$3),"B","C"))))</f>
        <v>A</v>
      </c>
      <c r="C130" s="50">
        <f t="shared" si="72"/>
        <v>246</v>
      </c>
      <c r="D130" s="49" t="s">
        <v>50</v>
      </c>
      <c r="E130" s="49" t="s">
        <v>73</v>
      </c>
      <c r="F130" s="49" t="s">
        <v>74</v>
      </c>
      <c r="G130" s="49" t="s">
        <v>53</v>
      </c>
      <c r="H130" s="49" t="s">
        <v>54</v>
      </c>
      <c r="I130" s="49" t="s">
        <v>55</v>
      </c>
      <c r="J130" s="50">
        <f>IFERROR(VLOOKUP(D130,'[1]back office'!$A$4:$B$6,2,FALSE),"-")</f>
        <v>25</v>
      </c>
      <c r="K130" s="50">
        <f>IFERROR(VLOOKUP(E130,'[1]back office'!$C$4:$D$6,2,FALSE),"-")</f>
        <v>0</v>
      </c>
      <c r="L130" s="50">
        <f>IFERROR(VLOOKUP(F130,'[1]back office'!$E$4:$F$6,2,FALSE),"-")</f>
        <v>15</v>
      </c>
      <c r="M130" s="50">
        <f>IFERROR(VLOOKUP(G130,'[1]back office'!$G$4:$H$6,2,FALSE),"-")</f>
        <v>15</v>
      </c>
      <c r="N130" s="50">
        <f>IFERROR(VLOOKUP(H130,'[1]back office'!$I$4:$J$6,2,FALSE),"-")</f>
        <v>0</v>
      </c>
      <c r="O130" s="50">
        <f>IFERROR(VLOOKUP(I130,'[1]back office'!$K$4:$L$6,2,FALSE),"-")</f>
        <v>35</v>
      </c>
      <c r="P130" s="51">
        <f t="shared" si="73"/>
        <v>90</v>
      </c>
      <c r="Q130" s="49" t="s">
        <v>54</v>
      </c>
      <c r="R130" s="49" t="s">
        <v>57</v>
      </c>
      <c r="S130" s="49" t="s">
        <v>58</v>
      </c>
      <c r="T130" s="50">
        <f>IFERROR(VLOOKUP(Q130,'[1]back office'!$A$11:$B$13,2,FALSE),"-")</f>
        <v>0</v>
      </c>
      <c r="U130" s="50">
        <f>IFERROR(VLOOKUP(R130,'[1]back office'!$C$11:$D$13,2,FALSE),"-")</f>
        <v>0</v>
      </c>
      <c r="V130" s="50" t="str">
        <f>IFERROR(VLOOKUP(S130,'[1]back office'!$E$11:$F$13,2,FALSE),"-")</f>
        <v>-</v>
      </c>
      <c r="W130" s="51">
        <f t="shared" si="74"/>
        <v>0</v>
      </c>
      <c r="X130" s="49" t="s">
        <v>70</v>
      </c>
      <c r="Y130" s="49" t="s">
        <v>84</v>
      </c>
      <c r="Z130" s="49" t="s">
        <v>75</v>
      </c>
      <c r="AA130" s="49" t="s">
        <v>76</v>
      </c>
      <c r="AB130" s="50" t="str">
        <f>IFERROR(VLOOKUP(X130,'[1]back office'!$A$17:$B$19,2,FALSE),"-")</f>
        <v>-</v>
      </c>
      <c r="AC130" s="50">
        <f>IFERROR(VLOOKUP(Y130,'[1]back office'!$C$17:$D$19,2,FALSE),"-")</f>
        <v>5</v>
      </c>
      <c r="AD130" s="50">
        <f>IFERROR(VLOOKUP(Z130,'[1]back office'!$E$17:$F$19,2,FALSE),"-")</f>
        <v>20</v>
      </c>
      <c r="AE130" s="50">
        <f>IFERROR(VLOOKUP(AA130,'[1]back office'!$G$17:$H$19,2,FALSE),"-")</f>
        <v>0</v>
      </c>
      <c r="AF130" s="51">
        <f t="shared" si="75"/>
        <v>25</v>
      </c>
      <c r="AG130" s="49" t="s">
        <v>63</v>
      </c>
      <c r="AH130" s="51">
        <f>IFERROR(VLOOKUP(AG130,'[1]back office'!$A$23:$B$25,2,FALSE),"-")</f>
        <v>0</v>
      </c>
      <c r="AI130" s="49">
        <v>50</v>
      </c>
      <c r="AJ130" s="49">
        <v>15</v>
      </c>
      <c r="AK130" s="49">
        <f t="shared" si="76"/>
        <v>50</v>
      </c>
      <c r="AL130" s="49">
        <v>81</v>
      </c>
      <c r="AM130" s="51">
        <f t="shared" si="77"/>
        <v>131</v>
      </c>
      <c r="AN130" s="49" t="s">
        <v>259</v>
      </c>
      <c r="AO130" s="51" t="str">
        <f>IFERROR(VLOOKUP(AN130,'[1]back office'!$A$36:$B$38,2,FALSE),"-")</f>
        <v>-</v>
      </c>
    </row>
    <row r="131" spans="1:41">
      <c r="A131" s="47" t="s">
        <v>260</v>
      </c>
      <c r="B131" s="50" t="str">
        <f>IF(C131="","",IF(C131&gt;=PQCDSM!$G$4,"AA",IF(AND(C131&gt;=PQCDSM!$G$3,C131&lt;PQCDSM!$G$4),"A",IF(AND(C131&gt;=PQCDSM!$G$2,C131&lt;PQCDSM!$G$3),"B","C"))))</f>
        <v>A</v>
      </c>
      <c r="C131" s="50">
        <f t="shared" si="72"/>
        <v>247</v>
      </c>
      <c r="D131" s="49" t="s">
        <v>50</v>
      </c>
      <c r="E131" s="49" t="s">
        <v>73</v>
      </c>
      <c r="F131" s="49" t="s">
        <v>74</v>
      </c>
      <c r="G131" s="49" t="s">
        <v>53</v>
      </c>
      <c r="H131" s="49" t="s">
        <v>54</v>
      </c>
      <c r="I131" s="49" t="s">
        <v>55</v>
      </c>
      <c r="J131" s="50">
        <f>IFERROR(VLOOKUP(D131,'[1]back office'!$A$4:$B$6,2,FALSE),"-")</f>
        <v>25</v>
      </c>
      <c r="K131" s="50">
        <f>IFERROR(VLOOKUP(E131,'[1]back office'!$C$4:$D$6,2,FALSE),"-")</f>
        <v>0</v>
      </c>
      <c r="L131" s="50">
        <f>IFERROR(VLOOKUP(F131,'[1]back office'!$E$4:$F$6,2,FALSE),"-")</f>
        <v>15</v>
      </c>
      <c r="M131" s="50">
        <f>IFERROR(VLOOKUP(G131,'[1]back office'!$G$4:$H$6,2,FALSE),"-")</f>
        <v>15</v>
      </c>
      <c r="N131" s="50">
        <f>IFERROR(VLOOKUP(H131,'[1]back office'!$I$4:$J$6,2,FALSE),"-")</f>
        <v>0</v>
      </c>
      <c r="O131" s="50">
        <f>IFERROR(VLOOKUP(I131,'[1]back office'!$K$4:$L$6,2,FALSE),"-")</f>
        <v>35</v>
      </c>
      <c r="P131" s="51">
        <f t="shared" si="73"/>
        <v>90</v>
      </c>
      <c r="Q131" s="49" t="s">
        <v>54</v>
      </c>
      <c r="R131" s="49" t="s">
        <v>57</v>
      </c>
      <c r="S131" s="49" t="s">
        <v>58</v>
      </c>
      <c r="T131" s="50">
        <f>IFERROR(VLOOKUP(Q131,'[1]back office'!$A$11:$B$13,2,FALSE),"-")</f>
        <v>0</v>
      </c>
      <c r="U131" s="50">
        <f>IFERROR(VLOOKUP(R131,'[1]back office'!$C$11:$D$13,2,FALSE),"-")</f>
        <v>0</v>
      </c>
      <c r="V131" s="50" t="str">
        <f>IFERROR(VLOOKUP(S131,'[1]back office'!$E$11:$F$13,2,FALSE),"-")</f>
        <v>-</v>
      </c>
      <c r="W131" s="51">
        <f t="shared" si="74"/>
        <v>0</v>
      </c>
      <c r="X131" s="49" t="s">
        <v>70</v>
      </c>
      <c r="Y131" s="49" t="s">
        <v>84</v>
      </c>
      <c r="Z131" s="49" t="s">
        <v>75</v>
      </c>
      <c r="AA131" s="49" t="s">
        <v>76</v>
      </c>
      <c r="AB131" s="50" t="str">
        <f>IFERROR(VLOOKUP(X131,'[1]back office'!$A$17:$B$19,2,FALSE),"-")</f>
        <v>-</v>
      </c>
      <c r="AC131" s="50">
        <f>IFERROR(VLOOKUP(Y131,'[1]back office'!$C$17:$D$19,2,FALSE),"-")</f>
        <v>5</v>
      </c>
      <c r="AD131" s="50">
        <f>IFERROR(VLOOKUP(Z131,'[1]back office'!$E$17:$F$19,2,FALSE),"-")</f>
        <v>20</v>
      </c>
      <c r="AE131" s="50">
        <f>IFERROR(VLOOKUP(AA131,'[1]back office'!$G$17:$H$19,2,FALSE),"-")</f>
        <v>0</v>
      </c>
      <c r="AF131" s="51">
        <f t="shared" si="75"/>
        <v>25</v>
      </c>
      <c r="AG131" s="49" t="s">
        <v>63</v>
      </c>
      <c r="AH131" s="51">
        <f>IFERROR(VLOOKUP(AG131,'[1]back office'!$A$23:$B$25,2,FALSE),"-")</f>
        <v>0</v>
      </c>
      <c r="AI131" s="49">
        <v>50</v>
      </c>
      <c r="AJ131" s="49">
        <v>15</v>
      </c>
      <c r="AK131" s="49">
        <f t="shared" si="76"/>
        <v>50</v>
      </c>
      <c r="AL131" s="49">
        <v>82</v>
      </c>
      <c r="AM131" s="51">
        <f t="shared" si="77"/>
        <v>132</v>
      </c>
      <c r="AN131" s="49" t="s">
        <v>261</v>
      </c>
      <c r="AO131" s="51" t="str">
        <f>IFERROR(VLOOKUP(AN131,'[1]back office'!$A$36:$B$38,2,FALSE),"-")</f>
        <v>-</v>
      </c>
    </row>
    <row r="132" spans="1:41">
      <c r="A132" s="47" t="s">
        <v>262</v>
      </c>
      <c r="B132" s="50" t="str">
        <f>IF(C132="","",IF(C132&gt;=PQCDSM!$G$4,"AA",IF(AND(C132&gt;=PQCDSM!$G$3,C132&lt;PQCDSM!$G$4),"A",IF(AND(C132&gt;=PQCDSM!$G$2,C132&lt;PQCDSM!$G$3),"B","C"))))</f>
        <v>A</v>
      </c>
      <c r="C132" s="50">
        <f t="shared" si="72"/>
        <v>248</v>
      </c>
      <c r="D132" s="49" t="s">
        <v>50</v>
      </c>
      <c r="E132" s="49" t="s">
        <v>73</v>
      </c>
      <c r="F132" s="49" t="s">
        <v>74</v>
      </c>
      <c r="G132" s="49" t="s">
        <v>53</v>
      </c>
      <c r="H132" s="49" t="s">
        <v>54</v>
      </c>
      <c r="I132" s="49" t="s">
        <v>55</v>
      </c>
      <c r="J132" s="50">
        <f>IFERROR(VLOOKUP(D132,'[1]back office'!$A$4:$B$6,2,FALSE),"-")</f>
        <v>25</v>
      </c>
      <c r="K132" s="50">
        <f>IFERROR(VLOOKUP(E132,'[1]back office'!$C$4:$D$6,2,FALSE),"-")</f>
        <v>0</v>
      </c>
      <c r="L132" s="50">
        <f>IFERROR(VLOOKUP(F132,'[1]back office'!$E$4:$F$6,2,FALSE),"-")</f>
        <v>15</v>
      </c>
      <c r="M132" s="50">
        <f>IFERROR(VLOOKUP(G132,'[1]back office'!$G$4:$H$6,2,FALSE),"-")</f>
        <v>15</v>
      </c>
      <c r="N132" s="50">
        <f>IFERROR(VLOOKUP(H132,'[1]back office'!$I$4:$J$6,2,FALSE),"-")</f>
        <v>0</v>
      </c>
      <c r="O132" s="50">
        <f>IFERROR(VLOOKUP(I132,'[1]back office'!$K$4:$L$6,2,FALSE),"-")</f>
        <v>35</v>
      </c>
      <c r="P132" s="51">
        <f t="shared" si="73"/>
        <v>90</v>
      </c>
      <c r="Q132" s="49" t="s">
        <v>54</v>
      </c>
      <c r="R132" s="49" t="s">
        <v>57</v>
      </c>
      <c r="S132" s="49" t="s">
        <v>58</v>
      </c>
      <c r="T132" s="50">
        <f>IFERROR(VLOOKUP(Q132,'[1]back office'!$A$11:$B$13,2,FALSE),"-")</f>
        <v>0</v>
      </c>
      <c r="U132" s="50">
        <f>IFERROR(VLOOKUP(R132,'[1]back office'!$C$11:$D$13,2,FALSE),"-")</f>
        <v>0</v>
      </c>
      <c r="V132" s="50" t="str">
        <f>IFERROR(VLOOKUP(S132,'[1]back office'!$E$11:$F$13,2,FALSE),"-")</f>
        <v>-</v>
      </c>
      <c r="W132" s="51">
        <f t="shared" si="74"/>
        <v>0</v>
      </c>
      <c r="X132" s="49" t="s">
        <v>70</v>
      </c>
      <c r="Y132" s="49" t="s">
        <v>84</v>
      </c>
      <c r="Z132" s="49" t="s">
        <v>75</v>
      </c>
      <c r="AA132" s="49" t="s">
        <v>76</v>
      </c>
      <c r="AB132" s="50" t="str">
        <f>IFERROR(VLOOKUP(X132,'[1]back office'!$A$17:$B$19,2,FALSE),"-")</f>
        <v>-</v>
      </c>
      <c r="AC132" s="50">
        <f>IFERROR(VLOOKUP(Y132,'[1]back office'!$C$17:$D$19,2,FALSE),"-")</f>
        <v>5</v>
      </c>
      <c r="AD132" s="50">
        <f>IFERROR(VLOOKUP(Z132,'[1]back office'!$E$17:$F$19,2,FALSE),"-")</f>
        <v>20</v>
      </c>
      <c r="AE132" s="50">
        <f>IFERROR(VLOOKUP(AA132,'[1]back office'!$G$17:$H$19,2,FALSE),"-")</f>
        <v>0</v>
      </c>
      <c r="AF132" s="51">
        <f t="shared" si="75"/>
        <v>25</v>
      </c>
      <c r="AG132" s="49" t="s">
        <v>63</v>
      </c>
      <c r="AH132" s="51">
        <f>IFERROR(VLOOKUP(AG132,'[1]back office'!$A$23:$B$25,2,FALSE),"-")</f>
        <v>0</v>
      </c>
      <c r="AI132" s="49">
        <v>50</v>
      </c>
      <c r="AJ132" s="49">
        <v>15</v>
      </c>
      <c r="AK132" s="49">
        <f t="shared" si="76"/>
        <v>50</v>
      </c>
      <c r="AL132" s="49">
        <v>83</v>
      </c>
      <c r="AM132" s="51">
        <f t="shared" si="77"/>
        <v>133</v>
      </c>
      <c r="AN132" s="49" t="s">
        <v>263</v>
      </c>
      <c r="AO132" s="51" t="str">
        <f>IFERROR(VLOOKUP(AN132,'[1]back office'!$A$36:$B$38,2,FALSE),"-")</f>
        <v>-</v>
      </c>
    </row>
    <row r="133" spans="1:41">
      <c r="A133" s="47" t="s">
        <v>264</v>
      </c>
      <c r="B133" s="50" t="str">
        <f>IF(C133="","",IF(C133&gt;=PQCDSM!$G$4,"AA",IF(AND(C133&gt;=PQCDSM!$G$3,C133&lt;PQCDSM!$G$4),"A",IF(AND(C133&gt;=PQCDSM!$G$2,C133&lt;PQCDSM!$G$3),"B","C"))))</f>
        <v>A</v>
      </c>
      <c r="C133" s="50">
        <f t="shared" si="72"/>
        <v>249</v>
      </c>
      <c r="D133" s="49" t="s">
        <v>50</v>
      </c>
      <c r="E133" s="49" t="s">
        <v>73</v>
      </c>
      <c r="F133" s="49" t="s">
        <v>74</v>
      </c>
      <c r="G133" s="49" t="s">
        <v>53</v>
      </c>
      <c r="H133" s="49" t="s">
        <v>54</v>
      </c>
      <c r="I133" s="49" t="s">
        <v>55</v>
      </c>
      <c r="J133" s="50">
        <f>IFERROR(VLOOKUP(D133,'[1]back office'!$A$4:$B$6,2,FALSE),"-")</f>
        <v>25</v>
      </c>
      <c r="K133" s="50">
        <f>IFERROR(VLOOKUP(E133,'[1]back office'!$C$4:$D$6,2,FALSE),"-")</f>
        <v>0</v>
      </c>
      <c r="L133" s="50">
        <f>IFERROR(VLOOKUP(F133,'[1]back office'!$E$4:$F$6,2,FALSE),"-")</f>
        <v>15</v>
      </c>
      <c r="M133" s="50">
        <f>IFERROR(VLOOKUP(G133,'[1]back office'!$G$4:$H$6,2,FALSE),"-")</f>
        <v>15</v>
      </c>
      <c r="N133" s="50">
        <f>IFERROR(VLOOKUP(H133,'[1]back office'!$I$4:$J$6,2,FALSE),"-")</f>
        <v>0</v>
      </c>
      <c r="O133" s="50">
        <f>IFERROR(VLOOKUP(I133,'[1]back office'!$K$4:$L$6,2,FALSE),"-")</f>
        <v>35</v>
      </c>
      <c r="P133" s="51">
        <f t="shared" si="73"/>
        <v>90</v>
      </c>
      <c r="Q133" s="49" t="s">
        <v>54</v>
      </c>
      <c r="R133" s="49" t="s">
        <v>57</v>
      </c>
      <c r="S133" s="49" t="s">
        <v>58</v>
      </c>
      <c r="T133" s="50">
        <f>IFERROR(VLOOKUP(Q133,'[1]back office'!$A$11:$B$13,2,FALSE),"-")</f>
        <v>0</v>
      </c>
      <c r="U133" s="50">
        <f>IFERROR(VLOOKUP(R133,'[1]back office'!$C$11:$D$13,2,FALSE),"-")</f>
        <v>0</v>
      </c>
      <c r="V133" s="50" t="str">
        <f>IFERROR(VLOOKUP(S133,'[1]back office'!$E$11:$F$13,2,FALSE),"-")</f>
        <v>-</v>
      </c>
      <c r="W133" s="51">
        <f t="shared" si="74"/>
        <v>0</v>
      </c>
      <c r="X133" s="49" t="s">
        <v>70</v>
      </c>
      <c r="Y133" s="49" t="s">
        <v>84</v>
      </c>
      <c r="Z133" s="49" t="s">
        <v>75</v>
      </c>
      <c r="AA133" s="49" t="s">
        <v>76</v>
      </c>
      <c r="AB133" s="50" t="str">
        <f>IFERROR(VLOOKUP(X133,'[1]back office'!$A$17:$B$19,2,FALSE),"-")</f>
        <v>-</v>
      </c>
      <c r="AC133" s="50">
        <f>IFERROR(VLOOKUP(Y133,'[1]back office'!$C$17:$D$19,2,FALSE),"-")</f>
        <v>5</v>
      </c>
      <c r="AD133" s="50">
        <f>IFERROR(VLOOKUP(Z133,'[1]back office'!$E$17:$F$19,2,FALSE),"-")</f>
        <v>20</v>
      </c>
      <c r="AE133" s="50">
        <f>IFERROR(VLOOKUP(AA133,'[1]back office'!$G$17:$H$19,2,FALSE),"-")</f>
        <v>0</v>
      </c>
      <c r="AF133" s="51">
        <f t="shared" si="75"/>
        <v>25</v>
      </c>
      <c r="AG133" s="49" t="s">
        <v>63</v>
      </c>
      <c r="AH133" s="51">
        <f>IFERROR(VLOOKUP(AG133,'[1]back office'!$A$23:$B$25,2,FALSE),"-")</f>
        <v>0</v>
      </c>
      <c r="AI133" s="49">
        <v>50</v>
      </c>
      <c r="AJ133" s="49">
        <v>15</v>
      </c>
      <c r="AK133" s="49">
        <f t="shared" si="76"/>
        <v>50</v>
      </c>
      <c r="AL133" s="49">
        <v>84</v>
      </c>
      <c r="AM133" s="51">
        <f t="shared" si="77"/>
        <v>134</v>
      </c>
      <c r="AN133" s="49" t="s">
        <v>265</v>
      </c>
      <c r="AO133" s="51" t="str">
        <f>IFERROR(VLOOKUP(AN133,'[1]back office'!$A$36:$B$38,2,FALSE),"-")</f>
        <v>-</v>
      </c>
    </row>
    <row r="134" spans="1:41">
      <c r="A134" s="47" t="s">
        <v>266</v>
      </c>
      <c r="B134" s="50" t="str">
        <f>IF(C134="","",IF(C134&gt;=PQCDSM!$G$4,"AA",IF(AND(C134&gt;=PQCDSM!$G$3,C134&lt;PQCDSM!$G$4),"A",IF(AND(C134&gt;=PQCDSM!$G$2,C134&lt;PQCDSM!$G$3),"B","C"))))</f>
        <v>A</v>
      </c>
      <c r="C134" s="50">
        <f t="shared" si="72"/>
        <v>215</v>
      </c>
      <c r="D134" s="49" t="s">
        <v>50</v>
      </c>
      <c r="E134" s="49" t="s">
        <v>73</v>
      </c>
      <c r="F134" s="49" t="s">
        <v>74</v>
      </c>
      <c r="G134" s="49" t="s">
        <v>53</v>
      </c>
      <c r="H134" s="49" t="s">
        <v>54</v>
      </c>
      <c r="I134" s="49" t="s">
        <v>78</v>
      </c>
      <c r="J134" s="50">
        <f>IFERROR(VLOOKUP(D134,'[1]back office'!$A$4:$B$6,2,FALSE),"-")</f>
        <v>25</v>
      </c>
      <c r="K134" s="50">
        <f>IFERROR(VLOOKUP(E134,'[1]back office'!$C$4:$D$6,2,FALSE),"-")</f>
        <v>0</v>
      </c>
      <c r="L134" s="50">
        <f>IFERROR(VLOOKUP(F134,'[1]back office'!$E$4:$F$6,2,FALSE),"-")</f>
        <v>15</v>
      </c>
      <c r="M134" s="50">
        <f>IFERROR(VLOOKUP(G134,'[1]back office'!$G$4:$H$6,2,FALSE),"-")</f>
        <v>15</v>
      </c>
      <c r="N134" s="50">
        <f>IFERROR(VLOOKUP(H134,'[1]back office'!$I$4:$J$6,2,FALSE),"-")</f>
        <v>0</v>
      </c>
      <c r="O134" s="50" t="str">
        <f>IFERROR(VLOOKUP(I134,'[1]back office'!$K$4:$L$6,2,FALSE),"-")</f>
        <v>-</v>
      </c>
      <c r="P134" s="51">
        <f t="shared" si="73"/>
        <v>55</v>
      </c>
      <c r="Q134" s="49" t="s">
        <v>54</v>
      </c>
      <c r="R134" s="49" t="s">
        <v>57</v>
      </c>
      <c r="S134" s="49" t="s">
        <v>58</v>
      </c>
      <c r="T134" s="50">
        <f>IFERROR(VLOOKUP(Q134,'[1]back office'!$A$11:$B$13,2,FALSE),"-")</f>
        <v>0</v>
      </c>
      <c r="U134" s="50">
        <f>IFERROR(VLOOKUP(R134,'[1]back office'!$C$11:$D$13,2,FALSE),"-")</f>
        <v>0</v>
      </c>
      <c r="V134" s="50" t="str">
        <f>IFERROR(VLOOKUP(S134,'[1]back office'!$E$11:$F$13,2,FALSE),"-")</f>
        <v>-</v>
      </c>
      <c r="W134" s="51">
        <f t="shared" si="74"/>
        <v>0</v>
      </c>
      <c r="X134" s="49" t="s">
        <v>70</v>
      </c>
      <c r="Y134" s="49" t="s">
        <v>84</v>
      </c>
      <c r="Z134" s="49" t="s">
        <v>75</v>
      </c>
      <c r="AA134" s="49" t="s">
        <v>76</v>
      </c>
      <c r="AB134" s="50" t="str">
        <f>IFERROR(VLOOKUP(X134,'[1]back office'!$A$17:$B$19,2,FALSE),"-")</f>
        <v>-</v>
      </c>
      <c r="AC134" s="50">
        <f>IFERROR(VLOOKUP(Y134,'[1]back office'!$C$17:$D$19,2,FALSE),"-")</f>
        <v>5</v>
      </c>
      <c r="AD134" s="50">
        <f>IFERROR(VLOOKUP(Z134,'[1]back office'!$E$17:$F$19,2,FALSE),"-")</f>
        <v>20</v>
      </c>
      <c r="AE134" s="50">
        <f>IFERROR(VLOOKUP(AA134,'[1]back office'!$G$17:$H$19,2,FALSE),"-")</f>
        <v>0</v>
      </c>
      <c r="AF134" s="51">
        <f t="shared" si="75"/>
        <v>25</v>
      </c>
      <c r="AG134" s="49" t="s">
        <v>63</v>
      </c>
      <c r="AH134" s="51">
        <f>IFERROR(VLOOKUP(AG134,'[1]back office'!$A$23:$B$25,2,FALSE),"-")</f>
        <v>0</v>
      </c>
      <c r="AI134" s="49">
        <v>50</v>
      </c>
      <c r="AJ134" s="49">
        <v>15</v>
      </c>
      <c r="AK134" s="49">
        <f t="shared" si="76"/>
        <v>50</v>
      </c>
      <c r="AL134" s="49">
        <v>85</v>
      </c>
      <c r="AM134" s="51">
        <f t="shared" si="77"/>
        <v>135</v>
      </c>
      <c r="AN134" s="49" t="s">
        <v>267</v>
      </c>
      <c r="AO134" s="51" t="str">
        <f>IFERROR(VLOOKUP(AN134,'[1]back office'!$A$36:$B$38,2,FALSE),"-")</f>
        <v>-</v>
      </c>
    </row>
    <row r="135" spans="1:41">
      <c r="A135" s="47" t="s">
        <v>268</v>
      </c>
      <c r="B135" s="50" t="str">
        <f>IF(C135="","",IF(C135&gt;=PQCDSM!$G$4,"AA",IF(AND(C135&gt;=PQCDSM!$G$3,C135&lt;PQCDSM!$G$4),"A",IF(AND(C135&gt;=PQCDSM!$G$2,C135&lt;PQCDSM!$G$3),"B","C"))))</f>
        <v>A</v>
      </c>
      <c r="C135" s="50">
        <f t="shared" si="72"/>
        <v>216</v>
      </c>
      <c r="D135" s="49" t="s">
        <v>50</v>
      </c>
      <c r="E135" s="49" t="s">
        <v>73</v>
      </c>
      <c r="F135" s="49" t="s">
        <v>74</v>
      </c>
      <c r="G135" s="49" t="s">
        <v>53</v>
      </c>
      <c r="H135" s="49" t="s">
        <v>54</v>
      </c>
      <c r="I135" s="49" t="s">
        <v>78</v>
      </c>
      <c r="J135" s="50">
        <f>IFERROR(VLOOKUP(D135,'[1]back office'!$A$4:$B$6,2,FALSE),"-")</f>
        <v>25</v>
      </c>
      <c r="K135" s="50">
        <f>IFERROR(VLOOKUP(E135,'[1]back office'!$C$4:$D$6,2,FALSE),"-")</f>
        <v>0</v>
      </c>
      <c r="L135" s="50">
        <f>IFERROR(VLOOKUP(F135,'[1]back office'!$E$4:$F$6,2,FALSE),"-")</f>
        <v>15</v>
      </c>
      <c r="M135" s="50">
        <f>IFERROR(VLOOKUP(G135,'[1]back office'!$G$4:$H$6,2,FALSE),"-")</f>
        <v>15</v>
      </c>
      <c r="N135" s="50">
        <f>IFERROR(VLOOKUP(H135,'[1]back office'!$I$4:$J$6,2,FALSE),"-")</f>
        <v>0</v>
      </c>
      <c r="O135" s="50" t="str">
        <f>IFERROR(VLOOKUP(I135,'[1]back office'!$K$4:$L$6,2,FALSE),"-")</f>
        <v>-</v>
      </c>
      <c r="P135" s="51">
        <f t="shared" si="73"/>
        <v>55</v>
      </c>
      <c r="Q135" s="49" t="s">
        <v>54</v>
      </c>
      <c r="R135" s="49" t="s">
        <v>57</v>
      </c>
      <c r="S135" s="49" t="s">
        <v>58</v>
      </c>
      <c r="T135" s="50">
        <f>IFERROR(VLOOKUP(Q135,'[1]back office'!$A$11:$B$13,2,FALSE),"-")</f>
        <v>0</v>
      </c>
      <c r="U135" s="50">
        <f>IFERROR(VLOOKUP(R135,'[1]back office'!$C$11:$D$13,2,FALSE),"-")</f>
        <v>0</v>
      </c>
      <c r="V135" s="50" t="str">
        <f>IFERROR(VLOOKUP(S135,'[1]back office'!$E$11:$F$13,2,FALSE),"-")</f>
        <v>-</v>
      </c>
      <c r="W135" s="51">
        <f t="shared" si="74"/>
        <v>0</v>
      </c>
      <c r="X135" s="49" t="s">
        <v>70</v>
      </c>
      <c r="Y135" s="49" t="s">
        <v>84</v>
      </c>
      <c r="Z135" s="49" t="s">
        <v>75</v>
      </c>
      <c r="AA135" s="49" t="s">
        <v>76</v>
      </c>
      <c r="AB135" s="50" t="str">
        <f>IFERROR(VLOOKUP(X135,'[1]back office'!$A$17:$B$19,2,FALSE),"-")</f>
        <v>-</v>
      </c>
      <c r="AC135" s="50">
        <f>IFERROR(VLOOKUP(Y135,'[1]back office'!$C$17:$D$19,2,FALSE),"-")</f>
        <v>5</v>
      </c>
      <c r="AD135" s="50">
        <f>IFERROR(VLOOKUP(Z135,'[1]back office'!$E$17:$F$19,2,FALSE),"-")</f>
        <v>20</v>
      </c>
      <c r="AE135" s="50">
        <f>IFERROR(VLOOKUP(AA135,'[1]back office'!$G$17:$H$19,2,FALSE),"-")</f>
        <v>0</v>
      </c>
      <c r="AF135" s="51">
        <f t="shared" si="75"/>
        <v>25</v>
      </c>
      <c r="AG135" s="49" t="s">
        <v>63</v>
      </c>
      <c r="AH135" s="51">
        <f>IFERROR(VLOOKUP(AG135,'[1]back office'!$A$23:$B$25,2,FALSE),"-")</f>
        <v>0</v>
      </c>
      <c r="AI135" s="49">
        <v>50</v>
      </c>
      <c r="AJ135" s="49">
        <v>15</v>
      </c>
      <c r="AK135" s="49">
        <f t="shared" si="76"/>
        <v>50</v>
      </c>
      <c r="AL135" s="49">
        <v>86</v>
      </c>
      <c r="AM135" s="51">
        <f t="shared" si="77"/>
        <v>136</v>
      </c>
      <c r="AN135" s="49" t="s">
        <v>269</v>
      </c>
      <c r="AO135" s="51" t="str">
        <f>IFERROR(VLOOKUP(AN135,'[1]back office'!$A$36:$B$38,2,FALSE),"-")</f>
        <v>-</v>
      </c>
    </row>
    <row r="136" spans="1:41">
      <c r="A136" s="47" t="s">
        <v>270</v>
      </c>
      <c r="B136" s="50" t="str">
        <f>IF(C136="","",IF(C136&gt;=PQCDSM!$G$4,"AA",IF(AND(C136&gt;=PQCDSM!$G$3,C136&lt;PQCDSM!$G$4),"A",IF(AND(C136&gt;=PQCDSM!$G$2,C136&lt;PQCDSM!$G$3),"B","C"))))</f>
        <v>A</v>
      </c>
      <c r="C136" s="50">
        <f t="shared" si="72"/>
        <v>232</v>
      </c>
      <c r="D136" s="49" t="s">
        <v>50</v>
      </c>
      <c r="E136" s="49" t="s">
        <v>92</v>
      </c>
      <c r="F136" s="49" t="s">
        <v>74</v>
      </c>
      <c r="G136" s="49" t="s">
        <v>53</v>
      </c>
      <c r="H136" s="49" t="s">
        <v>54</v>
      </c>
      <c r="I136" s="49" t="s">
        <v>78</v>
      </c>
      <c r="J136" s="50">
        <f>IFERROR(VLOOKUP(D136,'[1]back office'!$A$4:$B$6,2,FALSE),"-")</f>
        <v>25</v>
      </c>
      <c r="K136" s="50">
        <f>IFERROR(VLOOKUP(E136,'[1]back office'!$C$4:$D$6,2,FALSE),"-")</f>
        <v>15</v>
      </c>
      <c r="L136" s="50">
        <f>IFERROR(VLOOKUP(F136,'[1]back office'!$E$4:$F$6,2,FALSE),"-")</f>
        <v>15</v>
      </c>
      <c r="M136" s="50">
        <f>IFERROR(VLOOKUP(G136,'[1]back office'!$G$4:$H$6,2,FALSE),"-")</f>
        <v>15</v>
      </c>
      <c r="N136" s="50">
        <f>IFERROR(VLOOKUP(H136,'[1]back office'!$I$4:$J$6,2,FALSE),"-")</f>
        <v>0</v>
      </c>
      <c r="O136" s="50" t="str">
        <f>IFERROR(VLOOKUP(I136,'[1]back office'!$K$4:$L$6,2,FALSE),"-")</f>
        <v>-</v>
      </c>
      <c r="P136" s="51">
        <f t="shared" si="73"/>
        <v>70</v>
      </c>
      <c r="Q136" s="49" t="s">
        <v>54</v>
      </c>
      <c r="R136" s="49" t="s">
        <v>57</v>
      </c>
      <c r="S136" s="49" t="s">
        <v>58</v>
      </c>
      <c r="T136" s="50">
        <f>IFERROR(VLOOKUP(Q136,'[1]back office'!$A$11:$B$13,2,FALSE),"-")</f>
        <v>0</v>
      </c>
      <c r="U136" s="50">
        <f>IFERROR(VLOOKUP(R136,'[1]back office'!$C$11:$D$13,2,FALSE),"-")</f>
        <v>0</v>
      </c>
      <c r="V136" s="50" t="str">
        <f>IFERROR(VLOOKUP(S136,'[1]back office'!$E$11:$F$13,2,FALSE),"-")</f>
        <v>-</v>
      </c>
      <c r="W136" s="51">
        <f t="shared" si="74"/>
        <v>0</v>
      </c>
      <c r="X136" s="49" t="s">
        <v>70</v>
      </c>
      <c r="Y136" s="49" t="s">
        <v>84</v>
      </c>
      <c r="Z136" s="49" t="s">
        <v>75</v>
      </c>
      <c r="AA136" s="49" t="s">
        <v>76</v>
      </c>
      <c r="AB136" s="50" t="str">
        <f>IFERROR(VLOOKUP(X136,'[1]back office'!$A$17:$B$19,2,FALSE),"-")</f>
        <v>-</v>
      </c>
      <c r="AC136" s="50">
        <f>IFERROR(VLOOKUP(Y136,'[1]back office'!$C$17:$D$19,2,FALSE),"-")</f>
        <v>5</v>
      </c>
      <c r="AD136" s="50">
        <f>IFERROR(VLOOKUP(Z136,'[1]back office'!$E$17:$F$19,2,FALSE),"-")</f>
        <v>20</v>
      </c>
      <c r="AE136" s="50">
        <f>IFERROR(VLOOKUP(AA136,'[1]back office'!$G$17:$H$19,2,FALSE),"-")</f>
        <v>0</v>
      </c>
      <c r="AF136" s="51">
        <f t="shared" si="75"/>
        <v>25</v>
      </c>
      <c r="AG136" s="49" t="s">
        <v>63</v>
      </c>
      <c r="AH136" s="51">
        <f>IFERROR(VLOOKUP(AG136,'[1]back office'!$A$23:$B$25,2,FALSE),"-")</f>
        <v>0</v>
      </c>
      <c r="AI136" s="49">
        <v>50</v>
      </c>
      <c r="AJ136" s="49">
        <v>15</v>
      </c>
      <c r="AK136" s="49">
        <f t="shared" si="76"/>
        <v>50</v>
      </c>
      <c r="AL136" s="49">
        <v>87</v>
      </c>
      <c r="AM136" s="51">
        <f t="shared" si="77"/>
        <v>137</v>
      </c>
      <c r="AN136" s="49" t="s">
        <v>271</v>
      </c>
      <c r="AO136" s="51" t="str">
        <f>IFERROR(VLOOKUP(AN136,'[1]back office'!$A$36:$B$38,2,FALSE),"-")</f>
        <v>-</v>
      </c>
    </row>
    <row r="137" spans="1:41">
      <c r="A137" s="47" t="s">
        <v>272</v>
      </c>
      <c r="B137" s="50" t="str">
        <f>IF(C137="","",IF(C137&gt;=PQCDSM!$G$4,"AA",IF(AND(C137&gt;=PQCDSM!$G$3,C137&lt;PQCDSM!$G$4),"A",IF(AND(C137&gt;=PQCDSM!$G$2,C137&lt;PQCDSM!$G$3),"B","C"))))</f>
        <v>A</v>
      </c>
      <c r="C137" s="50">
        <f t="shared" si="72"/>
        <v>218</v>
      </c>
      <c r="D137" s="49" t="s">
        <v>50</v>
      </c>
      <c r="E137" s="49" t="s">
        <v>73</v>
      </c>
      <c r="F137" s="49" t="s">
        <v>74</v>
      </c>
      <c r="G137" s="49" t="s">
        <v>53</v>
      </c>
      <c r="H137" s="49" t="s">
        <v>54</v>
      </c>
      <c r="I137" s="49" t="s">
        <v>78</v>
      </c>
      <c r="J137" s="50">
        <f>IFERROR(VLOOKUP(D137,'[1]back office'!$A$4:$B$6,2,FALSE),"-")</f>
        <v>25</v>
      </c>
      <c r="K137" s="50">
        <f>IFERROR(VLOOKUP(E137,'[1]back office'!$C$4:$D$6,2,FALSE),"-")</f>
        <v>0</v>
      </c>
      <c r="L137" s="50">
        <f>IFERROR(VLOOKUP(F137,'[1]back office'!$E$4:$F$6,2,FALSE),"-")</f>
        <v>15</v>
      </c>
      <c r="M137" s="50">
        <f>IFERROR(VLOOKUP(G137,'[1]back office'!$G$4:$H$6,2,FALSE),"-")</f>
        <v>15</v>
      </c>
      <c r="N137" s="50">
        <f>IFERROR(VLOOKUP(H137,'[1]back office'!$I$4:$J$6,2,FALSE),"-")</f>
        <v>0</v>
      </c>
      <c r="O137" s="50" t="str">
        <f>IFERROR(VLOOKUP(I137,'[1]back office'!$K$4:$L$6,2,FALSE),"-")</f>
        <v>-</v>
      </c>
      <c r="P137" s="51">
        <f t="shared" si="73"/>
        <v>55</v>
      </c>
      <c r="Q137" s="49" t="s">
        <v>54</v>
      </c>
      <c r="R137" s="49" t="s">
        <v>57</v>
      </c>
      <c r="S137" s="49" t="s">
        <v>58</v>
      </c>
      <c r="T137" s="50">
        <f>IFERROR(VLOOKUP(Q137,'[1]back office'!$A$11:$B$13,2,FALSE),"-")</f>
        <v>0</v>
      </c>
      <c r="U137" s="50">
        <f>IFERROR(VLOOKUP(R137,'[1]back office'!$C$11:$D$13,2,FALSE),"-")</f>
        <v>0</v>
      </c>
      <c r="V137" s="50" t="str">
        <f>IFERROR(VLOOKUP(S137,'[1]back office'!$E$11:$F$13,2,FALSE),"-")</f>
        <v>-</v>
      </c>
      <c r="W137" s="51">
        <f t="shared" si="74"/>
        <v>0</v>
      </c>
      <c r="X137" s="49" t="s">
        <v>70</v>
      </c>
      <c r="Y137" s="49" t="s">
        <v>84</v>
      </c>
      <c r="Z137" s="49" t="s">
        <v>75</v>
      </c>
      <c r="AA137" s="49" t="s">
        <v>76</v>
      </c>
      <c r="AB137" s="50" t="str">
        <f>IFERROR(VLOOKUP(X137,'[1]back office'!$A$17:$B$19,2,FALSE),"-")</f>
        <v>-</v>
      </c>
      <c r="AC137" s="50">
        <f>IFERROR(VLOOKUP(Y137,'[1]back office'!$C$17:$D$19,2,FALSE),"-")</f>
        <v>5</v>
      </c>
      <c r="AD137" s="50">
        <f>IFERROR(VLOOKUP(Z137,'[1]back office'!$E$17:$F$19,2,FALSE),"-")</f>
        <v>20</v>
      </c>
      <c r="AE137" s="50">
        <f>IFERROR(VLOOKUP(AA137,'[1]back office'!$G$17:$H$19,2,FALSE),"-")</f>
        <v>0</v>
      </c>
      <c r="AF137" s="51">
        <f t="shared" si="75"/>
        <v>25</v>
      </c>
      <c r="AG137" s="49" t="s">
        <v>63</v>
      </c>
      <c r="AH137" s="51">
        <f>IFERROR(VLOOKUP(AG137,'[1]back office'!$A$23:$B$25,2,FALSE),"-")</f>
        <v>0</v>
      </c>
      <c r="AI137" s="49">
        <v>50</v>
      </c>
      <c r="AJ137" s="49">
        <v>15</v>
      </c>
      <c r="AK137" s="49">
        <f t="shared" si="76"/>
        <v>50</v>
      </c>
      <c r="AL137" s="49">
        <v>88</v>
      </c>
      <c r="AM137" s="51">
        <f t="shared" si="77"/>
        <v>138</v>
      </c>
      <c r="AN137" s="49" t="s">
        <v>273</v>
      </c>
      <c r="AO137" s="51" t="str">
        <f>IFERROR(VLOOKUP(AN137,'[1]back office'!$A$36:$B$38,2,FALSE),"-")</f>
        <v>-</v>
      </c>
    </row>
    <row r="138" spans="1:41">
      <c r="A138" s="47" t="s">
        <v>274</v>
      </c>
      <c r="B138" s="50" t="str">
        <f>IF(C138="","",IF(C138&gt;=PQCDSM!$G$4,"AA",IF(AND(C138&gt;=PQCDSM!$G$3,C138&lt;PQCDSM!$G$4),"A",IF(AND(C138&gt;=PQCDSM!$G$2,C138&lt;PQCDSM!$G$3),"B","C"))))</f>
        <v>A</v>
      </c>
      <c r="C138" s="50">
        <f t="shared" si="72"/>
        <v>219</v>
      </c>
      <c r="D138" s="49" t="s">
        <v>50</v>
      </c>
      <c r="E138" s="49" t="s">
        <v>73</v>
      </c>
      <c r="F138" s="49" t="s">
        <v>74</v>
      </c>
      <c r="G138" s="49" t="s">
        <v>53</v>
      </c>
      <c r="H138" s="49" t="s">
        <v>54</v>
      </c>
      <c r="I138" s="49" t="s">
        <v>78</v>
      </c>
      <c r="J138" s="50">
        <f>IFERROR(VLOOKUP(D138,'[1]back office'!$A$4:$B$6,2,FALSE),"-")</f>
        <v>25</v>
      </c>
      <c r="K138" s="50">
        <f>IFERROR(VLOOKUP(E138,'[1]back office'!$C$4:$D$6,2,FALSE),"-")</f>
        <v>0</v>
      </c>
      <c r="L138" s="50">
        <f>IFERROR(VLOOKUP(F138,'[1]back office'!$E$4:$F$6,2,FALSE),"-")</f>
        <v>15</v>
      </c>
      <c r="M138" s="50">
        <f>IFERROR(VLOOKUP(G138,'[1]back office'!$G$4:$H$6,2,FALSE),"-")</f>
        <v>15</v>
      </c>
      <c r="N138" s="50">
        <f>IFERROR(VLOOKUP(H138,'[1]back office'!$I$4:$J$6,2,FALSE),"-")</f>
        <v>0</v>
      </c>
      <c r="O138" s="50" t="str">
        <f>IFERROR(VLOOKUP(I138,'[1]back office'!$K$4:$L$6,2,FALSE),"-")</f>
        <v>-</v>
      </c>
      <c r="P138" s="51">
        <f t="shared" si="73"/>
        <v>55</v>
      </c>
      <c r="Q138" s="49" t="s">
        <v>54</v>
      </c>
      <c r="R138" s="49" t="s">
        <v>57</v>
      </c>
      <c r="S138" s="49" t="s">
        <v>58</v>
      </c>
      <c r="T138" s="50">
        <f>IFERROR(VLOOKUP(Q138,'[1]back office'!$A$11:$B$13,2,FALSE),"-")</f>
        <v>0</v>
      </c>
      <c r="U138" s="50">
        <f>IFERROR(VLOOKUP(R138,'[1]back office'!$C$11:$D$13,2,FALSE),"-")</f>
        <v>0</v>
      </c>
      <c r="V138" s="50" t="str">
        <f>IFERROR(VLOOKUP(S138,'[1]back office'!$E$11:$F$13,2,FALSE),"-")</f>
        <v>-</v>
      </c>
      <c r="W138" s="51">
        <f t="shared" si="74"/>
        <v>0</v>
      </c>
      <c r="X138" s="49" t="s">
        <v>70</v>
      </c>
      <c r="Y138" s="49" t="s">
        <v>84</v>
      </c>
      <c r="Z138" s="49" t="s">
        <v>75</v>
      </c>
      <c r="AA138" s="49" t="s">
        <v>76</v>
      </c>
      <c r="AB138" s="50" t="str">
        <f>IFERROR(VLOOKUP(X138,'[1]back office'!$A$17:$B$19,2,FALSE),"-")</f>
        <v>-</v>
      </c>
      <c r="AC138" s="50">
        <f>IFERROR(VLOOKUP(Y138,'[1]back office'!$C$17:$D$19,2,FALSE),"-")</f>
        <v>5</v>
      </c>
      <c r="AD138" s="50">
        <f>IFERROR(VLOOKUP(Z138,'[1]back office'!$E$17:$F$19,2,FALSE),"-")</f>
        <v>20</v>
      </c>
      <c r="AE138" s="50">
        <f>IFERROR(VLOOKUP(AA138,'[1]back office'!$G$17:$H$19,2,FALSE),"-")</f>
        <v>0</v>
      </c>
      <c r="AF138" s="51">
        <f t="shared" si="75"/>
        <v>25</v>
      </c>
      <c r="AG138" s="49" t="s">
        <v>63</v>
      </c>
      <c r="AH138" s="51">
        <f>IFERROR(VLOOKUP(AG138,'[1]back office'!$A$23:$B$25,2,FALSE),"-")</f>
        <v>0</v>
      </c>
      <c r="AI138" s="49">
        <v>50</v>
      </c>
      <c r="AJ138" s="49">
        <v>15</v>
      </c>
      <c r="AK138" s="49">
        <f t="shared" si="76"/>
        <v>50</v>
      </c>
      <c r="AL138" s="49">
        <v>89</v>
      </c>
      <c r="AM138" s="51">
        <f t="shared" si="77"/>
        <v>139</v>
      </c>
      <c r="AN138" s="49" t="s">
        <v>275</v>
      </c>
      <c r="AO138" s="51" t="str">
        <f>IFERROR(VLOOKUP(AN138,'[1]back office'!$A$36:$B$38,2,FALSE),"-")</f>
        <v>-</v>
      </c>
    </row>
    <row r="139" spans="1:41">
      <c r="A139" s="47" t="s">
        <v>276</v>
      </c>
      <c r="B139" s="50" t="str">
        <f>IF(C139="","",IF(C139&gt;=PQCDSM!$G$4,"AA",IF(AND(C139&gt;=PQCDSM!$G$3,C139&lt;PQCDSM!$G$4),"A",IF(AND(C139&gt;=PQCDSM!$G$2,C139&lt;PQCDSM!$G$3),"B","C"))))</f>
        <v>A</v>
      </c>
      <c r="C139" s="50">
        <f t="shared" si="72"/>
        <v>220</v>
      </c>
      <c r="D139" s="49" t="s">
        <v>50</v>
      </c>
      <c r="E139" s="49" t="s">
        <v>73</v>
      </c>
      <c r="F139" s="49" t="s">
        <v>74</v>
      </c>
      <c r="G139" s="49" t="s">
        <v>53</v>
      </c>
      <c r="H139" s="49" t="s">
        <v>54</v>
      </c>
      <c r="I139" s="49" t="s">
        <v>78</v>
      </c>
      <c r="J139" s="50">
        <f>IFERROR(VLOOKUP(D139,'[1]back office'!$A$4:$B$6,2,FALSE),"-")</f>
        <v>25</v>
      </c>
      <c r="K139" s="50">
        <f>IFERROR(VLOOKUP(E139,'[1]back office'!$C$4:$D$6,2,FALSE),"-")</f>
        <v>0</v>
      </c>
      <c r="L139" s="50">
        <f>IFERROR(VLOOKUP(F139,'[1]back office'!$E$4:$F$6,2,FALSE),"-")</f>
        <v>15</v>
      </c>
      <c r="M139" s="50">
        <f>IFERROR(VLOOKUP(G139,'[1]back office'!$G$4:$H$6,2,FALSE),"-")</f>
        <v>15</v>
      </c>
      <c r="N139" s="50">
        <f>IFERROR(VLOOKUP(H139,'[1]back office'!$I$4:$J$6,2,FALSE),"-")</f>
        <v>0</v>
      </c>
      <c r="O139" s="50" t="str">
        <f>IFERROR(VLOOKUP(I139,'[1]back office'!$K$4:$L$6,2,FALSE),"-")</f>
        <v>-</v>
      </c>
      <c r="P139" s="51">
        <f t="shared" si="73"/>
        <v>55</v>
      </c>
      <c r="Q139" s="49" t="s">
        <v>54</v>
      </c>
      <c r="R139" s="49" t="s">
        <v>57</v>
      </c>
      <c r="S139" s="49" t="s">
        <v>58</v>
      </c>
      <c r="T139" s="50">
        <f>IFERROR(VLOOKUP(Q139,'[1]back office'!$A$11:$B$13,2,FALSE),"-")</f>
        <v>0</v>
      </c>
      <c r="U139" s="50">
        <f>IFERROR(VLOOKUP(R139,'[1]back office'!$C$11:$D$13,2,FALSE),"-")</f>
        <v>0</v>
      </c>
      <c r="V139" s="50" t="str">
        <f>IFERROR(VLOOKUP(S139,'[1]back office'!$E$11:$F$13,2,FALSE),"-")</f>
        <v>-</v>
      </c>
      <c r="W139" s="51">
        <f t="shared" si="74"/>
        <v>0</v>
      </c>
      <c r="X139" s="49" t="s">
        <v>70</v>
      </c>
      <c r="Y139" s="49" t="s">
        <v>84</v>
      </c>
      <c r="Z139" s="49" t="s">
        <v>75</v>
      </c>
      <c r="AA139" s="49" t="s">
        <v>76</v>
      </c>
      <c r="AB139" s="50" t="str">
        <f>IFERROR(VLOOKUP(X139,'[1]back office'!$A$17:$B$19,2,FALSE),"-")</f>
        <v>-</v>
      </c>
      <c r="AC139" s="50">
        <f>IFERROR(VLOOKUP(Y139,'[1]back office'!$C$17:$D$19,2,FALSE),"-")</f>
        <v>5</v>
      </c>
      <c r="AD139" s="50">
        <f>IFERROR(VLOOKUP(Z139,'[1]back office'!$E$17:$F$19,2,FALSE),"-")</f>
        <v>20</v>
      </c>
      <c r="AE139" s="50">
        <f>IFERROR(VLOOKUP(AA139,'[1]back office'!$G$17:$H$19,2,FALSE),"-")</f>
        <v>0</v>
      </c>
      <c r="AF139" s="51">
        <f t="shared" si="75"/>
        <v>25</v>
      </c>
      <c r="AG139" s="49" t="s">
        <v>63</v>
      </c>
      <c r="AH139" s="51">
        <f>IFERROR(VLOOKUP(AG139,'[1]back office'!$A$23:$B$25,2,FALSE),"-")</f>
        <v>0</v>
      </c>
      <c r="AI139" s="49">
        <v>50</v>
      </c>
      <c r="AJ139" s="49">
        <v>15</v>
      </c>
      <c r="AK139" s="49">
        <f t="shared" si="76"/>
        <v>50</v>
      </c>
      <c r="AL139" s="49">
        <v>90</v>
      </c>
      <c r="AM139" s="51">
        <f t="shared" si="77"/>
        <v>140</v>
      </c>
      <c r="AN139" s="49" t="s">
        <v>277</v>
      </c>
      <c r="AO139" s="51" t="str">
        <f>IFERROR(VLOOKUP(AN139,'[1]back office'!$A$36:$B$38,2,FALSE),"-")</f>
        <v>-</v>
      </c>
    </row>
    <row r="140" spans="1:41">
      <c r="A140" s="47" t="s">
        <v>278</v>
      </c>
      <c r="B140" s="50" t="str">
        <f>IF(C140="","",IF(C140&gt;=PQCDSM!$G$4,"AA",IF(AND(C140&gt;=PQCDSM!$G$3,C140&lt;PQCDSM!$G$4),"A",IF(AND(C140&gt;=PQCDSM!$G$2,C140&lt;PQCDSM!$G$3),"B","C"))))</f>
        <v>A</v>
      </c>
      <c r="C140" s="50">
        <f t="shared" si="72"/>
        <v>221</v>
      </c>
      <c r="D140" s="49" t="s">
        <v>50</v>
      </c>
      <c r="E140" s="49" t="s">
        <v>73</v>
      </c>
      <c r="F140" s="49" t="s">
        <v>74</v>
      </c>
      <c r="G140" s="49" t="s">
        <v>53</v>
      </c>
      <c r="H140" s="49" t="s">
        <v>54</v>
      </c>
      <c r="I140" s="49" t="s">
        <v>78</v>
      </c>
      <c r="J140" s="50">
        <f>IFERROR(VLOOKUP(D140,'[1]back office'!$A$4:$B$6,2,FALSE),"-")</f>
        <v>25</v>
      </c>
      <c r="K140" s="50">
        <f>IFERROR(VLOOKUP(E140,'[1]back office'!$C$4:$D$6,2,FALSE),"-")</f>
        <v>0</v>
      </c>
      <c r="L140" s="50">
        <f>IFERROR(VLOOKUP(F140,'[1]back office'!$E$4:$F$6,2,FALSE),"-")</f>
        <v>15</v>
      </c>
      <c r="M140" s="50">
        <f>IFERROR(VLOOKUP(G140,'[1]back office'!$G$4:$H$6,2,FALSE),"-")</f>
        <v>15</v>
      </c>
      <c r="N140" s="50">
        <f>IFERROR(VLOOKUP(H140,'[1]back office'!$I$4:$J$6,2,FALSE),"-")</f>
        <v>0</v>
      </c>
      <c r="O140" s="50" t="str">
        <f>IFERROR(VLOOKUP(I140,'[1]back office'!$K$4:$L$6,2,FALSE),"-")</f>
        <v>-</v>
      </c>
      <c r="P140" s="51">
        <f t="shared" si="73"/>
        <v>55</v>
      </c>
      <c r="Q140" s="49" t="s">
        <v>54</v>
      </c>
      <c r="R140" s="49" t="s">
        <v>57</v>
      </c>
      <c r="S140" s="49" t="s">
        <v>58</v>
      </c>
      <c r="T140" s="50">
        <f>IFERROR(VLOOKUP(Q140,'[1]back office'!$A$11:$B$13,2,FALSE),"-")</f>
        <v>0</v>
      </c>
      <c r="U140" s="50">
        <f>IFERROR(VLOOKUP(R140,'[1]back office'!$C$11:$D$13,2,FALSE),"-")</f>
        <v>0</v>
      </c>
      <c r="V140" s="50" t="str">
        <f>IFERROR(VLOOKUP(S140,'[1]back office'!$E$11:$F$13,2,FALSE),"-")</f>
        <v>-</v>
      </c>
      <c r="W140" s="51">
        <f t="shared" si="74"/>
        <v>0</v>
      </c>
      <c r="X140" s="49" t="s">
        <v>70</v>
      </c>
      <c r="Y140" s="49" t="s">
        <v>84</v>
      </c>
      <c r="Z140" s="49" t="s">
        <v>75</v>
      </c>
      <c r="AA140" s="49" t="s">
        <v>76</v>
      </c>
      <c r="AB140" s="50" t="str">
        <f>IFERROR(VLOOKUP(X140,'[1]back office'!$A$17:$B$19,2,FALSE),"-")</f>
        <v>-</v>
      </c>
      <c r="AC140" s="50">
        <f>IFERROR(VLOOKUP(Y140,'[1]back office'!$C$17:$D$19,2,FALSE),"-")</f>
        <v>5</v>
      </c>
      <c r="AD140" s="50">
        <f>IFERROR(VLOOKUP(Z140,'[1]back office'!$E$17:$F$19,2,FALSE),"-")</f>
        <v>20</v>
      </c>
      <c r="AE140" s="50">
        <f>IFERROR(VLOOKUP(AA140,'[1]back office'!$G$17:$H$19,2,FALSE),"-")</f>
        <v>0</v>
      </c>
      <c r="AF140" s="51">
        <f t="shared" si="75"/>
        <v>25</v>
      </c>
      <c r="AG140" s="49" t="s">
        <v>63</v>
      </c>
      <c r="AH140" s="51">
        <f>IFERROR(VLOOKUP(AG140,'[1]back office'!$A$23:$B$25,2,FALSE),"-")</f>
        <v>0</v>
      </c>
      <c r="AI140" s="49">
        <v>50</v>
      </c>
      <c r="AJ140" s="49">
        <v>15</v>
      </c>
      <c r="AK140" s="49">
        <f t="shared" si="76"/>
        <v>50</v>
      </c>
      <c r="AL140" s="49">
        <v>91</v>
      </c>
      <c r="AM140" s="51">
        <f t="shared" si="77"/>
        <v>141</v>
      </c>
      <c r="AN140" s="49" t="s">
        <v>279</v>
      </c>
      <c r="AO140" s="51" t="str">
        <f>IFERROR(VLOOKUP(AN140,'[1]back office'!$A$36:$B$38,2,FALSE),"-")</f>
        <v>-</v>
      </c>
    </row>
    <row r="141" spans="1:41">
      <c r="A141" s="47" t="s">
        <v>280</v>
      </c>
      <c r="B141" s="50" t="str">
        <f>IF(C141="","",IF(C141&gt;=PQCDSM!$G$4,"AA",IF(AND(C141&gt;=PQCDSM!$G$3,C141&lt;PQCDSM!$G$4),"A",IF(AND(C141&gt;=PQCDSM!$G$2,C141&lt;PQCDSM!$G$3),"B","C"))))</f>
        <v>A</v>
      </c>
      <c r="C141" s="50">
        <f t="shared" si="72"/>
        <v>222</v>
      </c>
      <c r="D141" s="49" t="s">
        <v>50</v>
      </c>
      <c r="E141" s="49" t="s">
        <v>73</v>
      </c>
      <c r="F141" s="49" t="s">
        <v>74</v>
      </c>
      <c r="G141" s="49" t="s">
        <v>53</v>
      </c>
      <c r="H141" s="49" t="s">
        <v>54</v>
      </c>
      <c r="I141" s="49" t="s">
        <v>78</v>
      </c>
      <c r="J141" s="50">
        <f>IFERROR(VLOOKUP(D141,'[1]back office'!$A$4:$B$6,2,FALSE),"-")</f>
        <v>25</v>
      </c>
      <c r="K141" s="50">
        <f>IFERROR(VLOOKUP(E141,'[1]back office'!$C$4:$D$6,2,FALSE),"-")</f>
        <v>0</v>
      </c>
      <c r="L141" s="50">
        <f>IFERROR(VLOOKUP(F141,'[1]back office'!$E$4:$F$6,2,FALSE),"-")</f>
        <v>15</v>
      </c>
      <c r="M141" s="50">
        <f>IFERROR(VLOOKUP(G141,'[1]back office'!$G$4:$H$6,2,FALSE),"-")</f>
        <v>15</v>
      </c>
      <c r="N141" s="50">
        <f>IFERROR(VLOOKUP(H141,'[1]back office'!$I$4:$J$6,2,FALSE),"-")</f>
        <v>0</v>
      </c>
      <c r="O141" s="50" t="str">
        <f>IFERROR(VLOOKUP(I141,'[1]back office'!$K$4:$L$6,2,FALSE),"-")</f>
        <v>-</v>
      </c>
      <c r="P141" s="51">
        <f t="shared" si="73"/>
        <v>55</v>
      </c>
      <c r="Q141" s="49" t="s">
        <v>54</v>
      </c>
      <c r="R141" s="49" t="s">
        <v>57</v>
      </c>
      <c r="S141" s="49" t="s">
        <v>58</v>
      </c>
      <c r="T141" s="50">
        <f>IFERROR(VLOOKUP(Q141,'[1]back office'!$A$11:$B$13,2,FALSE),"-")</f>
        <v>0</v>
      </c>
      <c r="U141" s="50">
        <f>IFERROR(VLOOKUP(R141,'[1]back office'!$C$11:$D$13,2,FALSE),"-")</f>
        <v>0</v>
      </c>
      <c r="V141" s="50" t="str">
        <f>IFERROR(VLOOKUP(S141,'[1]back office'!$E$11:$F$13,2,FALSE),"-")</f>
        <v>-</v>
      </c>
      <c r="W141" s="51">
        <f t="shared" si="74"/>
        <v>0</v>
      </c>
      <c r="X141" s="49" t="s">
        <v>70</v>
      </c>
      <c r="Y141" s="49" t="s">
        <v>84</v>
      </c>
      <c r="Z141" s="49" t="s">
        <v>75</v>
      </c>
      <c r="AA141" s="49" t="s">
        <v>76</v>
      </c>
      <c r="AB141" s="50" t="str">
        <f>IFERROR(VLOOKUP(X141,'[1]back office'!$A$17:$B$19,2,FALSE),"-")</f>
        <v>-</v>
      </c>
      <c r="AC141" s="50">
        <f>IFERROR(VLOOKUP(Y141,'[1]back office'!$C$17:$D$19,2,FALSE),"-")</f>
        <v>5</v>
      </c>
      <c r="AD141" s="50">
        <f>IFERROR(VLOOKUP(Z141,'[1]back office'!$E$17:$F$19,2,FALSE),"-")</f>
        <v>20</v>
      </c>
      <c r="AE141" s="50">
        <f>IFERROR(VLOOKUP(AA141,'[1]back office'!$G$17:$H$19,2,FALSE),"-")</f>
        <v>0</v>
      </c>
      <c r="AF141" s="51">
        <f t="shared" si="75"/>
        <v>25</v>
      </c>
      <c r="AG141" s="49" t="s">
        <v>63</v>
      </c>
      <c r="AH141" s="51">
        <f>IFERROR(VLOOKUP(AG141,'[1]back office'!$A$23:$B$25,2,FALSE),"-")</f>
        <v>0</v>
      </c>
      <c r="AI141" s="49">
        <v>50</v>
      </c>
      <c r="AJ141" s="49">
        <v>15</v>
      </c>
      <c r="AK141" s="49">
        <f t="shared" si="76"/>
        <v>50</v>
      </c>
      <c r="AL141" s="49">
        <v>92</v>
      </c>
      <c r="AM141" s="51">
        <f t="shared" si="77"/>
        <v>142</v>
      </c>
      <c r="AN141" s="49" t="s">
        <v>281</v>
      </c>
      <c r="AO141" s="51" t="str">
        <f>IFERROR(VLOOKUP(AN141,'[1]back office'!$A$36:$B$38,2,FALSE),"-")</f>
        <v>-</v>
      </c>
    </row>
    <row r="142" spans="1:41">
      <c r="A142" s="47" t="s">
        <v>282</v>
      </c>
      <c r="B142" s="50" t="str">
        <f>IF(C142="","",IF(C142&gt;=PQCDSM!$G$4,"AA",IF(AND(C142&gt;=PQCDSM!$G$3,C142&lt;PQCDSM!$G$4),"A",IF(AND(C142&gt;=PQCDSM!$G$2,C142&lt;PQCDSM!$G$3),"B","C"))))</f>
        <v>A</v>
      </c>
      <c r="C142" s="50">
        <f t="shared" si="72"/>
        <v>223</v>
      </c>
      <c r="D142" s="49" t="s">
        <v>50</v>
      </c>
      <c r="E142" s="49" t="s">
        <v>73</v>
      </c>
      <c r="F142" s="49" t="s">
        <v>74</v>
      </c>
      <c r="G142" s="49" t="s">
        <v>53</v>
      </c>
      <c r="H142" s="49" t="s">
        <v>54</v>
      </c>
      <c r="I142" s="49" t="s">
        <v>78</v>
      </c>
      <c r="J142" s="50">
        <f>IFERROR(VLOOKUP(D142,'[1]back office'!$A$4:$B$6,2,FALSE),"-")</f>
        <v>25</v>
      </c>
      <c r="K142" s="50">
        <f>IFERROR(VLOOKUP(E142,'[1]back office'!$C$4:$D$6,2,FALSE),"-")</f>
        <v>0</v>
      </c>
      <c r="L142" s="50">
        <f>IFERROR(VLOOKUP(F142,'[1]back office'!$E$4:$F$6,2,FALSE),"-")</f>
        <v>15</v>
      </c>
      <c r="M142" s="50">
        <f>IFERROR(VLOOKUP(G142,'[1]back office'!$G$4:$H$6,2,FALSE),"-")</f>
        <v>15</v>
      </c>
      <c r="N142" s="50">
        <f>IFERROR(VLOOKUP(H142,'[1]back office'!$I$4:$J$6,2,FALSE),"-")</f>
        <v>0</v>
      </c>
      <c r="O142" s="50" t="str">
        <f>IFERROR(VLOOKUP(I142,'[1]back office'!$K$4:$L$6,2,FALSE),"-")</f>
        <v>-</v>
      </c>
      <c r="P142" s="51">
        <f t="shared" si="73"/>
        <v>55</v>
      </c>
      <c r="Q142" s="49" t="s">
        <v>54</v>
      </c>
      <c r="R142" s="49" t="s">
        <v>57</v>
      </c>
      <c r="S142" s="49" t="s">
        <v>58</v>
      </c>
      <c r="T142" s="50">
        <f>IFERROR(VLOOKUP(Q142,'[1]back office'!$A$11:$B$13,2,FALSE),"-")</f>
        <v>0</v>
      </c>
      <c r="U142" s="50">
        <f>IFERROR(VLOOKUP(R142,'[1]back office'!$C$11:$D$13,2,FALSE),"-")</f>
        <v>0</v>
      </c>
      <c r="V142" s="50" t="str">
        <f>IFERROR(VLOOKUP(S142,'[1]back office'!$E$11:$F$13,2,FALSE),"-")</f>
        <v>-</v>
      </c>
      <c r="W142" s="51">
        <f t="shared" si="74"/>
        <v>0</v>
      </c>
      <c r="X142" s="49" t="s">
        <v>70</v>
      </c>
      <c r="Y142" s="49" t="s">
        <v>84</v>
      </c>
      <c r="Z142" s="49" t="s">
        <v>75</v>
      </c>
      <c r="AA142" s="49" t="s">
        <v>76</v>
      </c>
      <c r="AB142" s="50" t="str">
        <f>IFERROR(VLOOKUP(X142,'[1]back office'!$A$17:$B$19,2,FALSE),"-")</f>
        <v>-</v>
      </c>
      <c r="AC142" s="50">
        <f>IFERROR(VLOOKUP(Y142,'[1]back office'!$C$17:$D$19,2,FALSE),"-")</f>
        <v>5</v>
      </c>
      <c r="AD142" s="50">
        <f>IFERROR(VLOOKUP(Z142,'[1]back office'!$E$17:$F$19,2,FALSE),"-")</f>
        <v>20</v>
      </c>
      <c r="AE142" s="50">
        <f>IFERROR(VLOOKUP(AA142,'[1]back office'!$G$17:$H$19,2,FALSE),"-")</f>
        <v>0</v>
      </c>
      <c r="AF142" s="51">
        <f t="shared" si="75"/>
        <v>25</v>
      </c>
      <c r="AG142" s="49" t="s">
        <v>63</v>
      </c>
      <c r="AH142" s="51">
        <f>IFERROR(VLOOKUP(AG142,'[1]back office'!$A$23:$B$25,2,FALSE),"-")</f>
        <v>0</v>
      </c>
      <c r="AI142" s="49">
        <v>50</v>
      </c>
      <c r="AJ142" s="49">
        <v>15</v>
      </c>
      <c r="AK142" s="49">
        <f t="shared" si="76"/>
        <v>50</v>
      </c>
      <c r="AL142" s="49">
        <v>93</v>
      </c>
      <c r="AM142" s="51">
        <f t="shared" si="77"/>
        <v>143</v>
      </c>
      <c r="AN142" s="49" t="s">
        <v>283</v>
      </c>
      <c r="AO142" s="51" t="str">
        <f>IFERROR(VLOOKUP(AN142,'[1]back office'!$A$36:$B$38,2,FALSE),"-")</f>
        <v>-</v>
      </c>
    </row>
    <row r="143" spans="1:41">
      <c r="A143" s="47" t="s">
        <v>284</v>
      </c>
      <c r="B143" s="50" t="str">
        <f>IF(C143="","",IF(C143&gt;=PQCDSM!$G$4,"AA",IF(AND(C143&gt;=PQCDSM!$G$3,C143&lt;PQCDSM!$G$4),"A",IF(AND(C143&gt;=PQCDSM!$G$2,C143&lt;PQCDSM!$G$3),"B","C"))))</f>
        <v>A</v>
      </c>
      <c r="C143" s="50">
        <f t="shared" si="72"/>
        <v>224</v>
      </c>
      <c r="D143" s="49" t="s">
        <v>50</v>
      </c>
      <c r="E143" s="49" t="s">
        <v>73</v>
      </c>
      <c r="F143" s="49" t="s">
        <v>74</v>
      </c>
      <c r="G143" s="49" t="s">
        <v>53</v>
      </c>
      <c r="H143" s="49" t="s">
        <v>54</v>
      </c>
      <c r="I143" s="49" t="s">
        <v>78</v>
      </c>
      <c r="J143" s="50">
        <f>IFERROR(VLOOKUP(D143,'[1]back office'!$A$4:$B$6,2,FALSE),"-")</f>
        <v>25</v>
      </c>
      <c r="K143" s="50">
        <f>IFERROR(VLOOKUP(E143,'[1]back office'!$C$4:$D$6,2,FALSE),"-")</f>
        <v>0</v>
      </c>
      <c r="L143" s="50">
        <f>IFERROR(VLOOKUP(F143,'[1]back office'!$E$4:$F$6,2,FALSE),"-")</f>
        <v>15</v>
      </c>
      <c r="M143" s="50">
        <f>IFERROR(VLOOKUP(G143,'[1]back office'!$G$4:$H$6,2,FALSE),"-")</f>
        <v>15</v>
      </c>
      <c r="N143" s="50">
        <f>IFERROR(VLOOKUP(H143,'[1]back office'!$I$4:$J$6,2,FALSE),"-")</f>
        <v>0</v>
      </c>
      <c r="O143" s="50" t="str">
        <f>IFERROR(VLOOKUP(I143,'[1]back office'!$K$4:$L$6,2,FALSE),"-")</f>
        <v>-</v>
      </c>
      <c r="P143" s="51">
        <f t="shared" si="73"/>
        <v>55</v>
      </c>
      <c r="Q143" s="49" t="s">
        <v>54</v>
      </c>
      <c r="R143" s="49" t="s">
        <v>57</v>
      </c>
      <c r="S143" s="49" t="s">
        <v>58</v>
      </c>
      <c r="T143" s="50">
        <f>IFERROR(VLOOKUP(Q143,'[1]back office'!$A$11:$B$13,2,FALSE),"-")</f>
        <v>0</v>
      </c>
      <c r="U143" s="50">
        <f>IFERROR(VLOOKUP(R143,'[1]back office'!$C$11:$D$13,2,FALSE),"-")</f>
        <v>0</v>
      </c>
      <c r="V143" s="50" t="str">
        <f>IFERROR(VLOOKUP(S143,'[1]back office'!$E$11:$F$13,2,FALSE),"-")</f>
        <v>-</v>
      </c>
      <c r="W143" s="51">
        <f t="shared" si="74"/>
        <v>0</v>
      </c>
      <c r="X143" s="49" t="s">
        <v>70</v>
      </c>
      <c r="Y143" s="49" t="s">
        <v>84</v>
      </c>
      <c r="Z143" s="49" t="s">
        <v>75</v>
      </c>
      <c r="AA143" s="49" t="s">
        <v>76</v>
      </c>
      <c r="AB143" s="50" t="str">
        <f>IFERROR(VLOOKUP(X143,'[1]back office'!$A$17:$B$19,2,FALSE),"-")</f>
        <v>-</v>
      </c>
      <c r="AC143" s="50">
        <f>IFERROR(VLOOKUP(Y143,'[1]back office'!$C$17:$D$19,2,FALSE),"-")</f>
        <v>5</v>
      </c>
      <c r="AD143" s="50">
        <f>IFERROR(VLOOKUP(Z143,'[1]back office'!$E$17:$F$19,2,FALSE),"-")</f>
        <v>20</v>
      </c>
      <c r="AE143" s="50">
        <f>IFERROR(VLOOKUP(AA143,'[1]back office'!$G$17:$H$19,2,FALSE),"-")</f>
        <v>0</v>
      </c>
      <c r="AF143" s="51">
        <f t="shared" si="75"/>
        <v>25</v>
      </c>
      <c r="AG143" s="49" t="s">
        <v>63</v>
      </c>
      <c r="AH143" s="51">
        <f>IFERROR(VLOOKUP(AG143,'[1]back office'!$A$23:$B$25,2,FALSE),"-")</f>
        <v>0</v>
      </c>
      <c r="AI143" s="49">
        <v>50</v>
      </c>
      <c r="AJ143" s="49">
        <v>15</v>
      </c>
      <c r="AK143" s="49">
        <f t="shared" si="76"/>
        <v>50</v>
      </c>
      <c r="AL143" s="49">
        <v>94</v>
      </c>
      <c r="AM143" s="51">
        <f t="shared" si="77"/>
        <v>144</v>
      </c>
      <c r="AN143" s="49" t="s">
        <v>285</v>
      </c>
      <c r="AO143" s="51" t="str">
        <f>IFERROR(VLOOKUP(AN143,'[1]back office'!$A$36:$B$38,2,FALSE),"-")</f>
        <v>-</v>
      </c>
    </row>
    <row r="144" spans="1:41">
      <c r="A144" s="47" t="s">
        <v>286</v>
      </c>
      <c r="B144" s="50" t="str">
        <f>IF(C144="","",IF(C144&gt;=PQCDSM!$G$4,"AA",IF(AND(C144&gt;=PQCDSM!$G$3,C144&lt;PQCDSM!$G$4),"A",IF(AND(C144&gt;=PQCDSM!$G$2,C144&lt;PQCDSM!$G$3),"B","C"))))</f>
        <v>A</v>
      </c>
      <c r="C144" s="50">
        <f t="shared" si="72"/>
        <v>225</v>
      </c>
      <c r="D144" s="49" t="s">
        <v>50</v>
      </c>
      <c r="E144" s="49" t="s">
        <v>73</v>
      </c>
      <c r="F144" s="49" t="s">
        <v>74</v>
      </c>
      <c r="G144" s="49" t="s">
        <v>53</v>
      </c>
      <c r="H144" s="49" t="s">
        <v>54</v>
      </c>
      <c r="I144" s="49" t="s">
        <v>78</v>
      </c>
      <c r="J144" s="50">
        <f>IFERROR(VLOOKUP(D144,'[1]back office'!$A$4:$B$6,2,FALSE),"-")</f>
        <v>25</v>
      </c>
      <c r="K144" s="50">
        <f>IFERROR(VLOOKUP(E144,'[1]back office'!$C$4:$D$6,2,FALSE),"-")</f>
        <v>0</v>
      </c>
      <c r="L144" s="50">
        <f>IFERROR(VLOOKUP(F144,'[1]back office'!$E$4:$F$6,2,FALSE),"-")</f>
        <v>15</v>
      </c>
      <c r="M144" s="50">
        <f>IFERROR(VLOOKUP(G144,'[1]back office'!$G$4:$H$6,2,FALSE),"-")</f>
        <v>15</v>
      </c>
      <c r="N144" s="50">
        <f>IFERROR(VLOOKUP(H144,'[1]back office'!$I$4:$J$6,2,FALSE),"-")</f>
        <v>0</v>
      </c>
      <c r="O144" s="50" t="str">
        <f>IFERROR(VLOOKUP(I144,'[1]back office'!$K$4:$L$6,2,FALSE),"-")</f>
        <v>-</v>
      </c>
      <c r="P144" s="51">
        <f t="shared" si="73"/>
        <v>55</v>
      </c>
      <c r="Q144" s="49" t="s">
        <v>54</v>
      </c>
      <c r="R144" s="49" t="s">
        <v>57</v>
      </c>
      <c r="S144" s="49" t="s">
        <v>58</v>
      </c>
      <c r="T144" s="50">
        <f>IFERROR(VLOOKUP(Q144,'[1]back office'!$A$11:$B$13,2,FALSE),"-")</f>
        <v>0</v>
      </c>
      <c r="U144" s="50">
        <f>IFERROR(VLOOKUP(R144,'[1]back office'!$C$11:$D$13,2,FALSE),"-")</f>
        <v>0</v>
      </c>
      <c r="V144" s="50" t="str">
        <f>IFERROR(VLOOKUP(S144,'[1]back office'!$E$11:$F$13,2,FALSE),"-")</f>
        <v>-</v>
      </c>
      <c r="W144" s="51">
        <f t="shared" si="74"/>
        <v>0</v>
      </c>
      <c r="X144" s="49" t="s">
        <v>70</v>
      </c>
      <c r="Y144" s="49" t="s">
        <v>84</v>
      </c>
      <c r="Z144" s="49" t="s">
        <v>75</v>
      </c>
      <c r="AA144" s="49" t="s">
        <v>76</v>
      </c>
      <c r="AB144" s="50" t="str">
        <f>IFERROR(VLOOKUP(X144,'[1]back office'!$A$17:$B$19,2,FALSE),"-")</f>
        <v>-</v>
      </c>
      <c r="AC144" s="50">
        <f>IFERROR(VLOOKUP(Y144,'[1]back office'!$C$17:$D$19,2,FALSE),"-")</f>
        <v>5</v>
      </c>
      <c r="AD144" s="50">
        <f>IFERROR(VLOOKUP(Z144,'[1]back office'!$E$17:$F$19,2,FALSE),"-")</f>
        <v>20</v>
      </c>
      <c r="AE144" s="50">
        <f>IFERROR(VLOOKUP(AA144,'[1]back office'!$G$17:$H$19,2,FALSE),"-")</f>
        <v>0</v>
      </c>
      <c r="AF144" s="51">
        <f t="shared" si="75"/>
        <v>25</v>
      </c>
      <c r="AG144" s="49" t="s">
        <v>63</v>
      </c>
      <c r="AH144" s="51">
        <f>IFERROR(VLOOKUP(AG144,'[1]back office'!$A$23:$B$25,2,FALSE),"-")</f>
        <v>0</v>
      </c>
      <c r="AI144" s="49">
        <v>50</v>
      </c>
      <c r="AJ144" s="49">
        <v>15</v>
      </c>
      <c r="AK144" s="49">
        <f t="shared" si="76"/>
        <v>50</v>
      </c>
      <c r="AL144" s="49">
        <v>95</v>
      </c>
      <c r="AM144" s="51">
        <f t="shared" si="77"/>
        <v>145</v>
      </c>
      <c r="AN144" s="49" t="s">
        <v>287</v>
      </c>
      <c r="AO144" s="51" t="str">
        <f>IFERROR(VLOOKUP(AN144,'[1]back office'!$A$36:$B$38,2,FALSE),"-")</f>
        <v>-</v>
      </c>
    </row>
    <row r="145" spans="1:41">
      <c r="A145" s="47" t="s">
        <v>288</v>
      </c>
      <c r="B145" s="50" t="str">
        <f>IF(C145="","",IF(C145&gt;=PQCDSM!$G$4,"AA",IF(AND(C145&gt;=PQCDSM!$G$3,C145&lt;PQCDSM!$G$4),"A",IF(AND(C145&gt;=PQCDSM!$G$2,C145&lt;PQCDSM!$G$3),"B","C"))))</f>
        <v>A</v>
      </c>
      <c r="C145" s="50">
        <f t="shared" si="72"/>
        <v>226</v>
      </c>
      <c r="D145" s="49" t="s">
        <v>50</v>
      </c>
      <c r="E145" s="49" t="s">
        <v>73</v>
      </c>
      <c r="F145" s="49" t="s">
        <v>74</v>
      </c>
      <c r="G145" s="49" t="s">
        <v>53</v>
      </c>
      <c r="H145" s="49" t="s">
        <v>54</v>
      </c>
      <c r="I145" s="49" t="s">
        <v>78</v>
      </c>
      <c r="J145" s="50">
        <f>IFERROR(VLOOKUP(D145,'[1]back office'!$A$4:$B$6,2,FALSE),"-")</f>
        <v>25</v>
      </c>
      <c r="K145" s="50">
        <f>IFERROR(VLOOKUP(E145,'[1]back office'!$C$4:$D$6,2,FALSE),"-")</f>
        <v>0</v>
      </c>
      <c r="L145" s="50">
        <f>IFERROR(VLOOKUP(F145,'[1]back office'!$E$4:$F$6,2,FALSE),"-")</f>
        <v>15</v>
      </c>
      <c r="M145" s="50">
        <f>IFERROR(VLOOKUP(G145,'[1]back office'!$G$4:$H$6,2,FALSE),"-")</f>
        <v>15</v>
      </c>
      <c r="N145" s="50">
        <f>IFERROR(VLOOKUP(H145,'[1]back office'!$I$4:$J$6,2,FALSE),"-")</f>
        <v>0</v>
      </c>
      <c r="O145" s="50" t="str">
        <f>IFERROR(VLOOKUP(I145,'[1]back office'!$K$4:$L$6,2,FALSE),"-")</f>
        <v>-</v>
      </c>
      <c r="P145" s="51">
        <f t="shared" si="73"/>
        <v>55</v>
      </c>
      <c r="Q145" s="49" t="s">
        <v>54</v>
      </c>
      <c r="R145" s="49" t="s">
        <v>57</v>
      </c>
      <c r="S145" s="49" t="s">
        <v>58</v>
      </c>
      <c r="T145" s="50">
        <f>IFERROR(VLOOKUP(Q145,'[1]back office'!$A$11:$B$13,2,FALSE),"-")</f>
        <v>0</v>
      </c>
      <c r="U145" s="50">
        <f>IFERROR(VLOOKUP(R145,'[1]back office'!$C$11:$D$13,2,FALSE),"-")</f>
        <v>0</v>
      </c>
      <c r="V145" s="50" t="str">
        <f>IFERROR(VLOOKUP(S145,'[1]back office'!$E$11:$F$13,2,FALSE),"-")</f>
        <v>-</v>
      </c>
      <c r="W145" s="51">
        <f t="shared" si="74"/>
        <v>0</v>
      </c>
      <c r="X145" s="49" t="s">
        <v>70</v>
      </c>
      <c r="Y145" s="49" t="s">
        <v>84</v>
      </c>
      <c r="Z145" s="49" t="s">
        <v>75</v>
      </c>
      <c r="AA145" s="49" t="s">
        <v>76</v>
      </c>
      <c r="AB145" s="50" t="str">
        <f>IFERROR(VLOOKUP(X145,'[1]back office'!$A$17:$B$19,2,FALSE),"-")</f>
        <v>-</v>
      </c>
      <c r="AC145" s="50">
        <f>IFERROR(VLOOKUP(Y145,'[1]back office'!$C$17:$D$19,2,FALSE),"-")</f>
        <v>5</v>
      </c>
      <c r="AD145" s="50">
        <f>IFERROR(VLOOKUP(Z145,'[1]back office'!$E$17:$F$19,2,FALSE),"-")</f>
        <v>20</v>
      </c>
      <c r="AE145" s="50">
        <f>IFERROR(VLOOKUP(AA145,'[1]back office'!$G$17:$H$19,2,FALSE),"-")</f>
        <v>0</v>
      </c>
      <c r="AF145" s="51">
        <f t="shared" si="75"/>
        <v>25</v>
      </c>
      <c r="AG145" s="49" t="s">
        <v>63</v>
      </c>
      <c r="AH145" s="51">
        <f>IFERROR(VLOOKUP(AG145,'[1]back office'!$A$23:$B$25,2,FALSE),"-")</f>
        <v>0</v>
      </c>
      <c r="AI145" s="49">
        <v>50</v>
      </c>
      <c r="AJ145" s="49">
        <v>15</v>
      </c>
      <c r="AK145" s="49">
        <f t="shared" si="76"/>
        <v>50</v>
      </c>
      <c r="AL145" s="49">
        <v>96</v>
      </c>
      <c r="AM145" s="51">
        <f t="shared" si="77"/>
        <v>146</v>
      </c>
      <c r="AN145" s="49" t="s">
        <v>289</v>
      </c>
      <c r="AO145" s="51" t="str">
        <f>IFERROR(VLOOKUP(AN145,'[1]back office'!$A$36:$B$38,2,FALSE),"-")</f>
        <v>-</v>
      </c>
    </row>
    <row r="146" spans="1:41">
      <c r="A146" s="47" t="s">
        <v>290</v>
      </c>
      <c r="B146" s="50" t="str">
        <f>IF(C146="","",IF(C146&gt;=PQCDSM!$G$4,"AA",IF(AND(C146&gt;=PQCDSM!$G$3,C146&lt;PQCDSM!$G$4),"A",IF(AND(C146&gt;=PQCDSM!$G$2,C146&lt;PQCDSM!$G$3),"B","C"))))</f>
        <v>A</v>
      </c>
      <c r="C146" s="50">
        <f t="shared" si="72"/>
        <v>227</v>
      </c>
      <c r="D146" s="49" t="s">
        <v>50</v>
      </c>
      <c r="E146" s="49" t="s">
        <v>73</v>
      </c>
      <c r="F146" s="49" t="s">
        <v>74</v>
      </c>
      <c r="G146" s="49" t="s">
        <v>53</v>
      </c>
      <c r="H146" s="49" t="s">
        <v>54</v>
      </c>
      <c r="I146" s="49" t="s">
        <v>78</v>
      </c>
      <c r="J146" s="50">
        <f>IFERROR(VLOOKUP(D146,'[1]back office'!$A$4:$B$6,2,FALSE),"-")</f>
        <v>25</v>
      </c>
      <c r="K146" s="50">
        <f>IFERROR(VLOOKUP(E146,'[1]back office'!$C$4:$D$6,2,FALSE),"-")</f>
        <v>0</v>
      </c>
      <c r="L146" s="50">
        <f>IFERROR(VLOOKUP(F146,'[1]back office'!$E$4:$F$6,2,FALSE),"-")</f>
        <v>15</v>
      </c>
      <c r="M146" s="50">
        <f>IFERROR(VLOOKUP(G146,'[1]back office'!$G$4:$H$6,2,FALSE),"-")</f>
        <v>15</v>
      </c>
      <c r="N146" s="50">
        <f>IFERROR(VLOOKUP(H146,'[1]back office'!$I$4:$J$6,2,FALSE),"-")</f>
        <v>0</v>
      </c>
      <c r="O146" s="50" t="str">
        <f>IFERROR(VLOOKUP(I146,'[1]back office'!$K$4:$L$6,2,FALSE),"-")</f>
        <v>-</v>
      </c>
      <c r="P146" s="51">
        <f t="shared" si="73"/>
        <v>55</v>
      </c>
      <c r="Q146" s="49" t="s">
        <v>54</v>
      </c>
      <c r="R146" s="49" t="s">
        <v>57</v>
      </c>
      <c r="S146" s="49" t="s">
        <v>58</v>
      </c>
      <c r="T146" s="50">
        <f>IFERROR(VLOOKUP(Q146,'[1]back office'!$A$11:$B$13,2,FALSE),"-")</f>
        <v>0</v>
      </c>
      <c r="U146" s="50">
        <f>IFERROR(VLOOKUP(R146,'[1]back office'!$C$11:$D$13,2,FALSE),"-")</f>
        <v>0</v>
      </c>
      <c r="V146" s="50" t="str">
        <f>IFERROR(VLOOKUP(S146,'[1]back office'!$E$11:$F$13,2,FALSE),"-")</f>
        <v>-</v>
      </c>
      <c r="W146" s="51">
        <f t="shared" si="74"/>
        <v>0</v>
      </c>
      <c r="X146" s="49" t="s">
        <v>70</v>
      </c>
      <c r="Y146" s="49" t="s">
        <v>84</v>
      </c>
      <c r="Z146" s="49" t="s">
        <v>75</v>
      </c>
      <c r="AA146" s="49" t="s">
        <v>76</v>
      </c>
      <c r="AB146" s="50" t="str">
        <f>IFERROR(VLOOKUP(X146,'[1]back office'!$A$17:$B$19,2,FALSE),"-")</f>
        <v>-</v>
      </c>
      <c r="AC146" s="50">
        <f>IFERROR(VLOOKUP(Y146,'[1]back office'!$C$17:$D$19,2,FALSE),"-")</f>
        <v>5</v>
      </c>
      <c r="AD146" s="50">
        <f>IFERROR(VLOOKUP(Z146,'[1]back office'!$E$17:$F$19,2,FALSE),"-")</f>
        <v>20</v>
      </c>
      <c r="AE146" s="50">
        <f>IFERROR(VLOOKUP(AA146,'[1]back office'!$G$17:$H$19,2,FALSE),"-")</f>
        <v>0</v>
      </c>
      <c r="AF146" s="51">
        <f t="shared" si="75"/>
        <v>25</v>
      </c>
      <c r="AG146" s="49" t="s">
        <v>63</v>
      </c>
      <c r="AH146" s="51">
        <f>IFERROR(VLOOKUP(AG146,'[1]back office'!$A$23:$B$25,2,FALSE),"-")</f>
        <v>0</v>
      </c>
      <c r="AI146" s="49">
        <v>50</v>
      </c>
      <c r="AJ146" s="49">
        <v>15</v>
      </c>
      <c r="AK146" s="49">
        <f t="shared" si="76"/>
        <v>50</v>
      </c>
      <c r="AL146" s="49">
        <v>97</v>
      </c>
      <c r="AM146" s="51">
        <f t="shared" si="77"/>
        <v>147</v>
      </c>
      <c r="AN146" s="49" t="s">
        <v>291</v>
      </c>
      <c r="AO146" s="51" t="str">
        <f>IFERROR(VLOOKUP(AN146,'[1]back office'!$A$36:$B$38,2,FALSE),"-")</f>
        <v>-</v>
      </c>
    </row>
    <row r="147" spans="1:41">
      <c r="A147" s="47" t="s">
        <v>292</v>
      </c>
      <c r="B147" s="50" t="str">
        <f>IF(C147="","",IF(C147&gt;=PQCDSM!$G$4,"AA",IF(AND(C147&gt;=PQCDSM!$G$3,C147&lt;PQCDSM!$G$4),"A",IF(AND(C147&gt;=PQCDSM!$G$2,C147&lt;PQCDSM!$G$3),"B","C"))))</f>
        <v>A</v>
      </c>
      <c r="C147" s="50">
        <f t="shared" si="72"/>
        <v>228</v>
      </c>
      <c r="D147" s="49" t="s">
        <v>50</v>
      </c>
      <c r="E147" s="49" t="s">
        <v>73</v>
      </c>
      <c r="F147" s="49" t="s">
        <v>74</v>
      </c>
      <c r="G147" s="49" t="s">
        <v>53</v>
      </c>
      <c r="H147" s="49" t="s">
        <v>54</v>
      </c>
      <c r="I147" s="49" t="s">
        <v>78</v>
      </c>
      <c r="J147" s="50">
        <f>IFERROR(VLOOKUP(D147,'[1]back office'!$A$4:$B$6,2,FALSE),"-")</f>
        <v>25</v>
      </c>
      <c r="K147" s="50">
        <f>IFERROR(VLOOKUP(E147,'[1]back office'!$C$4:$D$6,2,FALSE),"-")</f>
        <v>0</v>
      </c>
      <c r="L147" s="50">
        <f>IFERROR(VLOOKUP(F147,'[1]back office'!$E$4:$F$6,2,FALSE),"-")</f>
        <v>15</v>
      </c>
      <c r="M147" s="50">
        <f>IFERROR(VLOOKUP(G147,'[1]back office'!$G$4:$H$6,2,FALSE),"-")</f>
        <v>15</v>
      </c>
      <c r="N147" s="50">
        <f>IFERROR(VLOOKUP(H147,'[1]back office'!$I$4:$J$6,2,FALSE),"-")</f>
        <v>0</v>
      </c>
      <c r="O147" s="50" t="str">
        <f>IFERROR(VLOOKUP(I147,'[1]back office'!$K$4:$L$6,2,FALSE),"-")</f>
        <v>-</v>
      </c>
      <c r="P147" s="51">
        <f t="shared" si="73"/>
        <v>55</v>
      </c>
      <c r="Q147" s="49" t="s">
        <v>54</v>
      </c>
      <c r="R147" s="49" t="s">
        <v>57</v>
      </c>
      <c r="S147" s="49" t="s">
        <v>58</v>
      </c>
      <c r="T147" s="50">
        <f>IFERROR(VLOOKUP(Q147,'[1]back office'!$A$11:$B$13,2,FALSE),"-")</f>
        <v>0</v>
      </c>
      <c r="U147" s="50">
        <f>IFERROR(VLOOKUP(R147,'[1]back office'!$C$11:$D$13,2,FALSE),"-")</f>
        <v>0</v>
      </c>
      <c r="V147" s="50" t="str">
        <f>IFERROR(VLOOKUP(S147,'[1]back office'!$E$11:$F$13,2,FALSE),"-")</f>
        <v>-</v>
      </c>
      <c r="W147" s="51">
        <f t="shared" si="74"/>
        <v>0</v>
      </c>
      <c r="X147" s="49" t="s">
        <v>70</v>
      </c>
      <c r="Y147" s="49" t="s">
        <v>84</v>
      </c>
      <c r="Z147" s="49" t="s">
        <v>75</v>
      </c>
      <c r="AA147" s="49" t="s">
        <v>76</v>
      </c>
      <c r="AB147" s="50" t="str">
        <f>IFERROR(VLOOKUP(X147,'[1]back office'!$A$17:$B$19,2,FALSE),"-")</f>
        <v>-</v>
      </c>
      <c r="AC147" s="50">
        <f>IFERROR(VLOOKUP(Y147,'[1]back office'!$C$17:$D$19,2,FALSE),"-")</f>
        <v>5</v>
      </c>
      <c r="AD147" s="50">
        <f>IFERROR(VLOOKUP(Z147,'[1]back office'!$E$17:$F$19,2,FALSE),"-")</f>
        <v>20</v>
      </c>
      <c r="AE147" s="50">
        <f>IFERROR(VLOOKUP(AA147,'[1]back office'!$G$17:$H$19,2,FALSE),"-")</f>
        <v>0</v>
      </c>
      <c r="AF147" s="51">
        <f t="shared" si="75"/>
        <v>25</v>
      </c>
      <c r="AG147" s="49" t="s">
        <v>63</v>
      </c>
      <c r="AH147" s="51">
        <f>IFERROR(VLOOKUP(AG147,'[1]back office'!$A$23:$B$25,2,FALSE),"-")</f>
        <v>0</v>
      </c>
      <c r="AI147" s="49">
        <v>50</v>
      </c>
      <c r="AJ147" s="49">
        <v>15</v>
      </c>
      <c r="AK147" s="49">
        <f t="shared" si="76"/>
        <v>50</v>
      </c>
      <c r="AL147" s="49">
        <v>98</v>
      </c>
      <c r="AM147" s="51">
        <f t="shared" si="77"/>
        <v>148</v>
      </c>
      <c r="AN147" s="49" t="s">
        <v>293</v>
      </c>
      <c r="AO147" s="51" t="str">
        <f>IFERROR(VLOOKUP(AN147,'[1]back office'!$A$36:$B$38,2,FALSE),"-")</f>
        <v>-</v>
      </c>
    </row>
    <row r="148" spans="1:41">
      <c r="A148" s="47" t="s">
        <v>294</v>
      </c>
      <c r="B148" s="50" t="str">
        <f>IF(C148="","",IF(C148&gt;=PQCDSM!$G$4,"AA",IF(AND(C148&gt;=PQCDSM!$G$3,C148&lt;PQCDSM!$G$4),"A",IF(AND(C148&gt;=PQCDSM!$G$2,C148&lt;PQCDSM!$G$3),"B","C"))))</f>
        <v>A</v>
      </c>
      <c r="C148" s="50">
        <f t="shared" si="72"/>
        <v>229</v>
      </c>
      <c r="D148" s="49" t="s">
        <v>50</v>
      </c>
      <c r="E148" s="49" t="s">
        <v>73</v>
      </c>
      <c r="F148" s="49" t="s">
        <v>74</v>
      </c>
      <c r="G148" s="49" t="s">
        <v>53</v>
      </c>
      <c r="H148" s="49" t="s">
        <v>54</v>
      </c>
      <c r="I148" s="49" t="s">
        <v>78</v>
      </c>
      <c r="J148" s="50">
        <f>IFERROR(VLOOKUP(D148,'[1]back office'!$A$4:$B$6,2,FALSE),"-")</f>
        <v>25</v>
      </c>
      <c r="K148" s="50">
        <f>IFERROR(VLOOKUP(E148,'[1]back office'!$C$4:$D$6,2,FALSE),"-")</f>
        <v>0</v>
      </c>
      <c r="L148" s="50">
        <f>IFERROR(VLOOKUP(F148,'[1]back office'!$E$4:$F$6,2,FALSE),"-")</f>
        <v>15</v>
      </c>
      <c r="M148" s="50">
        <f>IFERROR(VLOOKUP(G148,'[1]back office'!$G$4:$H$6,2,FALSE),"-")</f>
        <v>15</v>
      </c>
      <c r="N148" s="50">
        <f>IFERROR(VLOOKUP(H148,'[1]back office'!$I$4:$J$6,2,FALSE),"-")</f>
        <v>0</v>
      </c>
      <c r="O148" s="50" t="str">
        <f>IFERROR(VLOOKUP(I148,'[1]back office'!$K$4:$L$6,2,FALSE),"-")</f>
        <v>-</v>
      </c>
      <c r="P148" s="51">
        <f t="shared" si="73"/>
        <v>55</v>
      </c>
      <c r="Q148" s="49" t="s">
        <v>54</v>
      </c>
      <c r="R148" s="49" t="s">
        <v>57</v>
      </c>
      <c r="S148" s="49" t="s">
        <v>58</v>
      </c>
      <c r="T148" s="50">
        <f>IFERROR(VLOOKUP(Q148,'[1]back office'!$A$11:$B$13,2,FALSE),"-")</f>
        <v>0</v>
      </c>
      <c r="U148" s="50">
        <f>IFERROR(VLOOKUP(R148,'[1]back office'!$C$11:$D$13,2,FALSE),"-")</f>
        <v>0</v>
      </c>
      <c r="V148" s="50" t="str">
        <f>IFERROR(VLOOKUP(S148,'[1]back office'!$E$11:$F$13,2,FALSE),"-")</f>
        <v>-</v>
      </c>
      <c r="W148" s="51">
        <f t="shared" si="74"/>
        <v>0</v>
      </c>
      <c r="X148" s="49" t="s">
        <v>70</v>
      </c>
      <c r="Y148" s="49" t="s">
        <v>84</v>
      </c>
      <c r="Z148" s="49" t="s">
        <v>75</v>
      </c>
      <c r="AA148" s="49" t="s">
        <v>76</v>
      </c>
      <c r="AB148" s="50" t="str">
        <f>IFERROR(VLOOKUP(X148,'[1]back office'!$A$17:$B$19,2,FALSE),"-")</f>
        <v>-</v>
      </c>
      <c r="AC148" s="50">
        <f>IFERROR(VLOOKUP(Y148,'[1]back office'!$C$17:$D$19,2,FALSE),"-")</f>
        <v>5</v>
      </c>
      <c r="AD148" s="50">
        <f>IFERROR(VLOOKUP(Z148,'[1]back office'!$E$17:$F$19,2,FALSE),"-")</f>
        <v>20</v>
      </c>
      <c r="AE148" s="50">
        <f>IFERROR(VLOOKUP(AA148,'[1]back office'!$G$17:$H$19,2,FALSE),"-")</f>
        <v>0</v>
      </c>
      <c r="AF148" s="51">
        <f t="shared" si="75"/>
        <v>25</v>
      </c>
      <c r="AG148" s="49" t="s">
        <v>63</v>
      </c>
      <c r="AH148" s="51">
        <f>IFERROR(VLOOKUP(AG148,'[1]back office'!$A$23:$B$25,2,FALSE),"-")</f>
        <v>0</v>
      </c>
      <c r="AI148" s="49">
        <v>50</v>
      </c>
      <c r="AJ148" s="49">
        <v>15</v>
      </c>
      <c r="AK148" s="49">
        <f t="shared" si="76"/>
        <v>50</v>
      </c>
      <c r="AL148" s="49">
        <v>99</v>
      </c>
      <c r="AM148" s="51">
        <f t="shared" si="77"/>
        <v>149</v>
      </c>
      <c r="AN148" s="49" t="s">
        <v>295</v>
      </c>
      <c r="AO148" s="51" t="str">
        <f>IFERROR(VLOOKUP(AN148,'[1]back office'!$A$36:$B$38,2,FALSE),"-")</f>
        <v>-</v>
      </c>
    </row>
    <row r="149" spans="1:41">
      <c r="A149" s="47" t="s">
        <v>296</v>
      </c>
      <c r="B149" s="50" t="str">
        <f>IF(C149="","",IF(C149&gt;=PQCDSM!$G$4,"AA",IF(AND(C149&gt;=PQCDSM!$G$3,C149&lt;PQCDSM!$G$4),"A",IF(AND(C149&gt;=PQCDSM!$G$2,C149&lt;PQCDSM!$G$3),"B","C"))))</f>
        <v>A</v>
      </c>
      <c r="C149" s="50">
        <f t="shared" si="72"/>
        <v>230</v>
      </c>
      <c r="D149" s="49" t="s">
        <v>50</v>
      </c>
      <c r="E149" s="49" t="s">
        <v>73</v>
      </c>
      <c r="F149" s="49" t="s">
        <v>74</v>
      </c>
      <c r="G149" s="49" t="s">
        <v>53</v>
      </c>
      <c r="H149" s="49" t="s">
        <v>54</v>
      </c>
      <c r="I149" s="49" t="s">
        <v>78</v>
      </c>
      <c r="J149" s="50">
        <f>IFERROR(VLOOKUP(D149,'[1]back office'!$A$4:$B$6,2,FALSE),"-")</f>
        <v>25</v>
      </c>
      <c r="K149" s="50">
        <f>IFERROR(VLOOKUP(E149,'[1]back office'!$C$4:$D$6,2,FALSE),"-")</f>
        <v>0</v>
      </c>
      <c r="L149" s="50">
        <f>IFERROR(VLOOKUP(F149,'[1]back office'!$E$4:$F$6,2,FALSE),"-")</f>
        <v>15</v>
      </c>
      <c r="M149" s="50">
        <f>IFERROR(VLOOKUP(G149,'[1]back office'!$G$4:$H$6,2,FALSE),"-")</f>
        <v>15</v>
      </c>
      <c r="N149" s="50">
        <f>IFERROR(VLOOKUP(H149,'[1]back office'!$I$4:$J$6,2,FALSE),"-")</f>
        <v>0</v>
      </c>
      <c r="O149" s="50" t="str">
        <f>IFERROR(VLOOKUP(I149,'[1]back office'!$K$4:$L$6,2,FALSE),"-")</f>
        <v>-</v>
      </c>
      <c r="P149" s="51">
        <f t="shared" si="73"/>
        <v>55</v>
      </c>
      <c r="Q149" s="49" t="s">
        <v>54</v>
      </c>
      <c r="R149" s="49" t="s">
        <v>57</v>
      </c>
      <c r="S149" s="49" t="s">
        <v>58</v>
      </c>
      <c r="T149" s="50">
        <f>IFERROR(VLOOKUP(Q149,'[1]back office'!$A$11:$B$13,2,FALSE),"-")</f>
        <v>0</v>
      </c>
      <c r="U149" s="50">
        <f>IFERROR(VLOOKUP(R149,'[1]back office'!$C$11:$D$13,2,FALSE),"-")</f>
        <v>0</v>
      </c>
      <c r="V149" s="50" t="str">
        <f>IFERROR(VLOOKUP(S149,'[1]back office'!$E$11:$F$13,2,FALSE),"-")</f>
        <v>-</v>
      </c>
      <c r="W149" s="51">
        <f t="shared" si="74"/>
        <v>0</v>
      </c>
      <c r="X149" s="49" t="s">
        <v>70</v>
      </c>
      <c r="Y149" s="49" t="s">
        <v>84</v>
      </c>
      <c r="Z149" s="49" t="s">
        <v>75</v>
      </c>
      <c r="AA149" s="49" t="s">
        <v>76</v>
      </c>
      <c r="AB149" s="50" t="str">
        <f>IFERROR(VLOOKUP(X149,'[1]back office'!$A$17:$B$19,2,FALSE),"-")</f>
        <v>-</v>
      </c>
      <c r="AC149" s="50">
        <f>IFERROR(VLOOKUP(Y149,'[1]back office'!$C$17:$D$19,2,FALSE),"-")</f>
        <v>5</v>
      </c>
      <c r="AD149" s="50">
        <f>IFERROR(VLOOKUP(Z149,'[1]back office'!$E$17:$F$19,2,FALSE),"-")</f>
        <v>20</v>
      </c>
      <c r="AE149" s="50">
        <f>IFERROR(VLOOKUP(AA149,'[1]back office'!$G$17:$H$19,2,FALSE),"-")</f>
        <v>0</v>
      </c>
      <c r="AF149" s="51">
        <f t="shared" si="75"/>
        <v>25</v>
      </c>
      <c r="AG149" s="49" t="s">
        <v>63</v>
      </c>
      <c r="AH149" s="51">
        <f>IFERROR(VLOOKUP(AG149,'[1]back office'!$A$23:$B$25,2,FALSE),"-")</f>
        <v>0</v>
      </c>
      <c r="AI149" s="49">
        <v>50</v>
      </c>
      <c r="AJ149" s="49">
        <v>15</v>
      </c>
      <c r="AK149" s="49">
        <f t="shared" si="76"/>
        <v>50</v>
      </c>
      <c r="AL149" s="49">
        <v>100</v>
      </c>
      <c r="AM149" s="51">
        <f t="shared" si="77"/>
        <v>150</v>
      </c>
      <c r="AN149" s="49" t="s">
        <v>297</v>
      </c>
      <c r="AO149" s="51" t="str">
        <f>IFERROR(VLOOKUP(AN149,'[1]back office'!$A$36:$B$38,2,FALSE),"-")</f>
        <v>-</v>
      </c>
    </row>
    <row r="150" spans="1:41">
      <c r="A150" s="47" t="s">
        <v>298</v>
      </c>
      <c r="B150" s="50" t="str">
        <f>IF(C150="","",IF(C150&gt;=PQCDSM!$G$4,"AA",IF(AND(C150&gt;=PQCDSM!$G$3,C150&lt;PQCDSM!$G$4),"A",IF(AND(C150&gt;=PQCDSM!$G$2,C150&lt;PQCDSM!$G$3),"B","C"))))</f>
        <v>A</v>
      </c>
      <c r="C150" s="50">
        <f t="shared" si="72"/>
        <v>231</v>
      </c>
      <c r="D150" s="49" t="s">
        <v>50</v>
      </c>
      <c r="E150" s="49" t="s">
        <v>73</v>
      </c>
      <c r="F150" s="49" t="s">
        <v>74</v>
      </c>
      <c r="G150" s="49" t="s">
        <v>53</v>
      </c>
      <c r="H150" s="49" t="s">
        <v>54</v>
      </c>
      <c r="I150" s="49" t="s">
        <v>78</v>
      </c>
      <c r="J150" s="50">
        <f>IFERROR(VLOOKUP(D150,'[1]back office'!$A$4:$B$6,2,FALSE),"-")</f>
        <v>25</v>
      </c>
      <c r="K150" s="50">
        <f>IFERROR(VLOOKUP(E150,'[1]back office'!$C$4:$D$6,2,FALSE),"-")</f>
        <v>0</v>
      </c>
      <c r="L150" s="50">
        <f>IFERROR(VLOOKUP(F150,'[1]back office'!$E$4:$F$6,2,FALSE),"-")</f>
        <v>15</v>
      </c>
      <c r="M150" s="50">
        <f>IFERROR(VLOOKUP(G150,'[1]back office'!$G$4:$H$6,2,FALSE),"-")</f>
        <v>15</v>
      </c>
      <c r="N150" s="50">
        <f>IFERROR(VLOOKUP(H150,'[1]back office'!$I$4:$J$6,2,FALSE),"-")</f>
        <v>0</v>
      </c>
      <c r="O150" s="50" t="str">
        <f>IFERROR(VLOOKUP(I150,'[1]back office'!$K$4:$L$6,2,FALSE),"-")</f>
        <v>-</v>
      </c>
      <c r="P150" s="51">
        <f t="shared" si="73"/>
        <v>55</v>
      </c>
      <c r="Q150" s="49" t="s">
        <v>54</v>
      </c>
      <c r="R150" s="49" t="s">
        <v>57</v>
      </c>
      <c r="S150" s="49" t="s">
        <v>58</v>
      </c>
      <c r="T150" s="50">
        <f>IFERROR(VLOOKUP(Q150,'[1]back office'!$A$11:$B$13,2,FALSE),"-")</f>
        <v>0</v>
      </c>
      <c r="U150" s="50">
        <f>IFERROR(VLOOKUP(R150,'[1]back office'!$C$11:$D$13,2,FALSE),"-")</f>
        <v>0</v>
      </c>
      <c r="V150" s="50" t="str">
        <f>IFERROR(VLOOKUP(S150,'[1]back office'!$E$11:$F$13,2,FALSE),"-")</f>
        <v>-</v>
      </c>
      <c r="W150" s="51">
        <f t="shared" si="74"/>
        <v>0</v>
      </c>
      <c r="X150" s="49" t="s">
        <v>70</v>
      </c>
      <c r="Y150" s="49" t="s">
        <v>84</v>
      </c>
      <c r="Z150" s="49" t="s">
        <v>75</v>
      </c>
      <c r="AA150" s="49" t="s">
        <v>76</v>
      </c>
      <c r="AB150" s="50" t="str">
        <f>IFERROR(VLOOKUP(X150,'[1]back office'!$A$17:$B$19,2,FALSE),"-")</f>
        <v>-</v>
      </c>
      <c r="AC150" s="50">
        <f>IFERROR(VLOOKUP(Y150,'[1]back office'!$C$17:$D$19,2,FALSE),"-")</f>
        <v>5</v>
      </c>
      <c r="AD150" s="50">
        <f>IFERROR(VLOOKUP(Z150,'[1]back office'!$E$17:$F$19,2,FALSE),"-")</f>
        <v>20</v>
      </c>
      <c r="AE150" s="50">
        <f>IFERROR(VLOOKUP(AA150,'[1]back office'!$G$17:$H$19,2,FALSE),"-")</f>
        <v>0</v>
      </c>
      <c r="AF150" s="51">
        <f t="shared" si="75"/>
        <v>25</v>
      </c>
      <c r="AG150" s="49" t="s">
        <v>63</v>
      </c>
      <c r="AH150" s="51">
        <f>IFERROR(VLOOKUP(AG150,'[1]back office'!$A$23:$B$25,2,FALSE),"-")</f>
        <v>0</v>
      </c>
      <c r="AI150" s="49">
        <v>50</v>
      </c>
      <c r="AJ150" s="49">
        <v>15</v>
      </c>
      <c r="AK150" s="49">
        <f t="shared" si="76"/>
        <v>50</v>
      </c>
      <c r="AL150" s="49">
        <v>101</v>
      </c>
      <c r="AM150" s="51">
        <f t="shared" si="77"/>
        <v>151</v>
      </c>
      <c r="AN150" s="49" t="s">
        <v>299</v>
      </c>
      <c r="AO150" s="51" t="str">
        <f>IFERROR(VLOOKUP(AN150,'[1]back office'!$A$36:$B$38,2,FALSE),"-")</f>
        <v>-</v>
      </c>
    </row>
    <row r="151" spans="1:41">
      <c r="A151" s="47" t="s">
        <v>300</v>
      </c>
      <c r="B151" s="50" t="str">
        <f>IF(C151="","",IF(C151&gt;=PQCDSM!$G$4,"AA",IF(AND(C151&gt;=PQCDSM!$G$3,C151&lt;PQCDSM!$G$4),"A",IF(AND(C151&gt;=PQCDSM!$G$2,C151&lt;PQCDSM!$G$3),"B","C"))))</f>
        <v>A</v>
      </c>
      <c r="C151" s="50">
        <f t="shared" si="72"/>
        <v>247</v>
      </c>
      <c r="D151" s="49" t="s">
        <v>50</v>
      </c>
      <c r="E151" s="49" t="s">
        <v>92</v>
      </c>
      <c r="F151" s="49" t="s">
        <v>74</v>
      </c>
      <c r="G151" s="49" t="s">
        <v>53</v>
      </c>
      <c r="H151" s="49" t="s">
        <v>54</v>
      </c>
      <c r="I151" s="49" t="s">
        <v>78</v>
      </c>
      <c r="J151" s="50">
        <f>IFERROR(VLOOKUP(D151,'[1]back office'!$A$4:$B$6,2,FALSE),"-")</f>
        <v>25</v>
      </c>
      <c r="K151" s="50">
        <f>IFERROR(VLOOKUP(E151,'[1]back office'!$C$4:$D$6,2,FALSE),"-")</f>
        <v>15</v>
      </c>
      <c r="L151" s="50">
        <f>IFERROR(VLOOKUP(F151,'[1]back office'!$E$4:$F$6,2,FALSE),"-")</f>
        <v>15</v>
      </c>
      <c r="M151" s="50">
        <f>IFERROR(VLOOKUP(G151,'[1]back office'!$G$4:$H$6,2,FALSE),"-")</f>
        <v>15</v>
      </c>
      <c r="N151" s="50">
        <f>IFERROR(VLOOKUP(H151,'[1]back office'!$I$4:$J$6,2,FALSE),"-")</f>
        <v>0</v>
      </c>
      <c r="O151" s="50" t="str">
        <f>IFERROR(VLOOKUP(I151,'[1]back office'!$K$4:$L$6,2,FALSE),"-")</f>
        <v>-</v>
      </c>
      <c r="P151" s="51">
        <f t="shared" si="73"/>
        <v>70</v>
      </c>
      <c r="Q151" s="49" t="s">
        <v>54</v>
      </c>
      <c r="R151" s="49" t="s">
        <v>57</v>
      </c>
      <c r="S151" s="49" t="s">
        <v>58</v>
      </c>
      <c r="T151" s="50">
        <f>IFERROR(VLOOKUP(Q151,'[1]back office'!$A$11:$B$13,2,FALSE),"-")</f>
        <v>0</v>
      </c>
      <c r="U151" s="50">
        <f>IFERROR(VLOOKUP(R151,'[1]back office'!$C$11:$D$13,2,FALSE),"-")</f>
        <v>0</v>
      </c>
      <c r="V151" s="50" t="str">
        <f>IFERROR(VLOOKUP(S151,'[1]back office'!$E$11:$F$13,2,FALSE),"-")</f>
        <v>-</v>
      </c>
      <c r="W151" s="51">
        <f t="shared" si="74"/>
        <v>0</v>
      </c>
      <c r="X151" s="49" t="s">
        <v>70</v>
      </c>
      <c r="Y151" s="49" t="s">
        <v>84</v>
      </c>
      <c r="Z151" s="49" t="s">
        <v>75</v>
      </c>
      <c r="AA151" s="49" t="s">
        <v>76</v>
      </c>
      <c r="AB151" s="50" t="str">
        <f>IFERROR(VLOOKUP(X151,'[1]back office'!$A$17:$B$19,2,FALSE),"-")</f>
        <v>-</v>
      </c>
      <c r="AC151" s="50">
        <f>IFERROR(VLOOKUP(Y151,'[1]back office'!$C$17:$D$19,2,FALSE),"-")</f>
        <v>5</v>
      </c>
      <c r="AD151" s="50">
        <f>IFERROR(VLOOKUP(Z151,'[1]back office'!$E$17:$F$19,2,FALSE),"-")</f>
        <v>20</v>
      </c>
      <c r="AE151" s="50">
        <f>IFERROR(VLOOKUP(AA151,'[1]back office'!$G$17:$H$19,2,FALSE),"-")</f>
        <v>0</v>
      </c>
      <c r="AF151" s="51">
        <f t="shared" si="75"/>
        <v>25</v>
      </c>
      <c r="AG151" s="49" t="s">
        <v>63</v>
      </c>
      <c r="AH151" s="51">
        <f>IFERROR(VLOOKUP(AG151,'[1]back office'!$A$23:$B$25,2,FALSE),"-")</f>
        <v>0</v>
      </c>
      <c r="AI151" s="49">
        <v>50</v>
      </c>
      <c r="AJ151" s="49">
        <v>15</v>
      </c>
      <c r="AK151" s="49">
        <f t="shared" si="76"/>
        <v>50</v>
      </c>
      <c r="AL151" s="49">
        <v>102</v>
      </c>
      <c r="AM151" s="51">
        <f t="shared" si="77"/>
        <v>152</v>
      </c>
      <c r="AN151" s="49" t="s">
        <v>301</v>
      </c>
      <c r="AO151" s="51" t="str">
        <f>IFERROR(VLOOKUP(AN151,'[1]back office'!$A$36:$B$38,2,FALSE),"-")</f>
        <v>-</v>
      </c>
    </row>
    <row r="152" spans="1:41">
      <c r="A152" s="47" t="s">
        <v>302</v>
      </c>
      <c r="B152" s="50" t="str">
        <f>IF(C152="","",IF(C152&gt;=PQCDSM!$G$4,"AA",IF(AND(C152&gt;=PQCDSM!$G$3,C152&lt;PQCDSM!$G$4),"A",IF(AND(C152&gt;=PQCDSM!$G$2,C152&lt;PQCDSM!$G$3),"B","C"))))</f>
        <v>A</v>
      </c>
      <c r="C152" s="50">
        <f t="shared" si="72"/>
        <v>233</v>
      </c>
      <c r="D152" s="49" t="s">
        <v>50</v>
      </c>
      <c r="E152" s="49" t="s">
        <v>73</v>
      </c>
      <c r="F152" s="49" t="s">
        <v>74</v>
      </c>
      <c r="G152" s="49" t="s">
        <v>53</v>
      </c>
      <c r="H152" s="49" t="s">
        <v>54</v>
      </c>
      <c r="I152" s="49" t="s">
        <v>78</v>
      </c>
      <c r="J152" s="50">
        <f>IFERROR(VLOOKUP(D152,'[1]back office'!$A$4:$B$6,2,FALSE),"-")</f>
        <v>25</v>
      </c>
      <c r="K152" s="50">
        <f>IFERROR(VLOOKUP(E152,'[1]back office'!$C$4:$D$6,2,FALSE),"-")</f>
        <v>0</v>
      </c>
      <c r="L152" s="50">
        <f>IFERROR(VLOOKUP(F152,'[1]back office'!$E$4:$F$6,2,FALSE),"-")</f>
        <v>15</v>
      </c>
      <c r="M152" s="50">
        <f>IFERROR(VLOOKUP(G152,'[1]back office'!$G$4:$H$6,2,FALSE),"-")</f>
        <v>15</v>
      </c>
      <c r="N152" s="50">
        <f>IFERROR(VLOOKUP(H152,'[1]back office'!$I$4:$J$6,2,FALSE),"-")</f>
        <v>0</v>
      </c>
      <c r="O152" s="50" t="str">
        <f>IFERROR(VLOOKUP(I152,'[1]back office'!$K$4:$L$6,2,FALSE),"-")</f>
        <v>-</v>
      </c>
      <c r="P152" s="51">
        <f t="shared" si="73"/>
        <v>55</v>
      </c>
      <c r="Q152" s="49" t="s">
        <v>54</v>
      </c>
      <c r="R152" s="49" t="s">
        <v>57</v>
      </c>
      <c r="S152" s="49" t="s">
        <v>58</v>
      </c>
      <c r="T152" s="50">
        <f>IFERROR(VLOOKUP(Q152,'[1]back office'!$A$11:$B$13,2,FALSE),"-")</f>
        <v>0</v>
      </c>
      <c r="U152" s="50">
        <f>IFERROR(VLOOKUP(R152,'[1]back office'!$C$11:$D$13,2,FALSE),"-")</f>
        <v>0</v>
      </c>
      <c r="V152" s="50" t="str">
        <f>IFERROR(VLOOKUP(S152,'[1]back office'!$E$11:$F$13,2,FALSE),"-")</f>
        <v>-</v>
      </c>
      <c r="W152" s="51">
        <f t="shared" si="74"/>
        <v>0</v>
      </c>
      <c r="X152" s="49" t="s">
        <v>70</v>
      </c>
      <c r="Y152" s="49" t="s">
        <v>84</v>
      </c>
      <c r="Z152" s="49" t="s">
        <v>75</v>
      </c>
      <c r="AA152" s="49" t="s">
        <v>76</v>
      </c>
      <c r="AB152" s="50" t="str">
        <f>IFERROR(VLOOKUP(X152,'[1]back office'!$A$17:$B$19,2,FALSE),"-")</f>
        <v>-</v>
      </c>
      <c r="AC152" s="50">
        <f>IFERROR(VLOOKUP(Y152,'[1]back office'!$C$17:$D$19,2,FALSE),"-")</f>
        <v>5</v>
      </c>
      <c r="AD152" s="50">
        <f>IFERROR(VLOOKUP(Z152,'[1]back office'!$E$17:$F$19,2,FALSE),"-")</f>
        <v>20</v>
      </c>
      <c r="AE152" s="50">
        <f>IFERROR(VLOOKUP(AA152,'[1]back office'!$G$17:$H$19,2,FALSE),"-")</f>
        <v>0</v>
      </c>
      <c r="AF152" s="51">
        <f t="shared" si="75"/>
        <v>25</v>
      </c>
      <c r="AG152" s="49" t="s">
        <v>63</v>
      </c>
      <c r="AH152" s="51">
        <f>IFERROR(VLOOKUP(AG152,'[1]back office'!$A$23:$B$25,2,FALSE),"-")</f>
        <v>0</v>
      </c>
      <c r="AI152" s="49">
        <v>50</v>
      </c>
      <c r="AJ152" s="49">
        <v>15</v>
      </c>
      <c r="AK152" s="49">
        <f t="shared" si="76"/>
        <v>50</v>
      </c>
      <c r="AL152" s="49">
        <v>103</v>
      </c>
      <c r="AM152" s="51">
        <f t="shared" si="77"/>
        <v>153</v>
      </c>
      <c r="AN152" s="49" t="s">
        <v>303</v>
      </c>
      <c r="AO152" s="51" t="str">
        <f>IFERROR(VLOOKUP(AN152,'[1]back office'!$A$36:$B$38,2,FALSE),"-")</f>
        <v>-</v>
      </c>
    </row>
    <row r="153" spans="1:41">
      <c r="A153" s="47" t="s">
        <v>304</v>
      </c>
      <c r="B153" s="50" t="str">
        <f>IF(C153="","",IF(C153&gt;=PQCDSM!$G$4,"AA",IF(AND(C153&gt;=PQCDSM!$G$3,C153&lt;PQCDSM!$G$4),"A",IF(AND(C153&gt;=PQCDSM!$G$2,C153&lt;PQCDSM!$G$3),"B","C"))))</f>
        <v>A</v>
      </c>
      <c r="C153" s="50">
        <f t="shared" si="72"/>
        <v>234</v>
      </c>
      <c r="D153" s="49" t="s">
        <v>50</v>
      </c>
      <c r="E153" s="49" t="s">
        <v>73</v>
      </c>
      <c r="F153" s="49" t="s">
        <v>74</v>
      </c>
      <c r="G153" s="49" t="s">
        <v>53</v>
      </c>
      <c r="H153" s="49" t="s">
        <v>54</v>
      </c>
      <c r="I153" s="49" t="s">
        <v>78</v>
      </c>
      <c r="J153" s="50">
        <f>IFERROR(VLOOKUP(D153,'[1]back office'!$A$4:$B$6,2,FALSE),"-")</f>
        <v>25</v>
      </c>
      <c r="K153" s="50">
        <f>IFERROR(VLOOKUP(E153,'[1]back office'!$C$4:$D$6,2,FALSE),"-")</f>
        <v>0</v>
      </c>
      <c r="L153" s="50">
        <f>IFERROR(VLOOKUP(F153,'[1]back office'!$E$4:$F$6,2,FALSE),"-")</f>
        <v>15</v>
      </c>
      <c r="M153" s="50">
        <f>IFERROR(VLOOKUP(G153,'[1]back office'!$G$4:$H$6,2,FALSE),"-")</f>
        <v>15</v>
      </c>
      <c r="N153" s="50">
        <f>IFERROR(VLOOKUP(H153,'[1]back office'!$I$4:$J$6,2,FALSE),"-")</f>
        <v>0</v>
      </c>
      <c r="O153" s="50" t="str">
        <f>IFERROR(VLOOKUP(I153,'[1]back office'!$K$4:$L$6,2,FALSE),"-")</f>
        <v>-</v>
      </c>
      <c r="P153" s="51">
        <f t="shared" si="73"/>
        <v>55</v>
      </c>
      <c r="Q153" s="49" t="s">
        <v>54</v>
      </c>
      <c r="R153" s="49" t="s">
        <v>57</v>
      </c>
      <c r="S153" s="49" t="s">
        <v>58</v>
      </c>
      <c r="T153" s="50">
        <f>IFERROR(VLOOKUP(Q153,'[1]back office'!$A$11:$B$13,2,FALSE),"-")</f>
        <v>0</v>
      </c>
      <c r="U153" s="50">
        <f>IFERROR(VLOOKUP(R153,'[1]back office'!$C$11:$D$13,2,FALSE),"-")</f>
        <v>0</v>
      </c>
      <c r="V153" s="50" t="str">
        <f>IFERROR(VLOOKUP(S153,'[1]back office'!$E$11:$F$13,2,FALSE),"-")</f>
        <v>-</v>
      </c>
      <c r="W153" s="51">
        <f t="shared" si="74"/>
        <v>0</v>
      </c>
      <c r="X153" s="49" t="s">
        <v>70</v>
      </c>
      <c r="Y153" s="49" t="s">
        <v>84</v>
      </c>
      <c r="Z153" s="49" t="s">
        <v>75</v>
      </c>
      <c r="AA153" s="49" t="s">
        <v>76</v>
      </c>
      <c r="AB153" s="50" t="str">
        <f>IFERROR(VLOOKUP(X153,'[1]back office'!$A$17:$B$19,2,FALSE),"-")</f>
        <v>-</v>
      </c>
      <c r="AC153" s="50">
        <f>IFERROR(VLOOKUP(Y153,'[1]back office'!$C$17:$D$19,2,FALSE),"-")</f>
        <v>5</v>
      </c>
      <c r="AD153" s="50">
        <f>IFERROR(VLOOKUP(Z153,'[1]back office'!$E$17:$F$19,2,FALSE),"-")</f>
        <v>20</v>
      </c>
      <c r="AE153" s="50">
        <f>IFERROR(VLOOKUP(AA153,'[1]back office'!$G$17:$H$19,2,FALSE),"-")</f>
        <v>0</v>
      </c>
      <c r="AF153" s="51">
        <f t="shared" si="75"/>
        <v>25</v>
      </c>
      <c r="AG153" s="49" t="s">
        <v>63</v>
      </c>
      <c r="AH153" s="51">
        <f>IFERROR(VLOOKUP(AG153,'[1]back office'!$A$23:$B$25,2,FALSE),"-")</f>
        <v>0</v>
      </c>
      <c r="AI153" s="49">
        <v>50</v>
      </c>
      <c r="AJ153" s="49">
        <v>15</v>
      </c>
      <c r="AK153" s="49">
        <f t="shared" si="76"/>
        <v>50</v>
      </c>
      <c r="AL153" s="49">
        <v>104</v>
      </c>
      <c r="AM153" s="51">
        <f t="shared" si="77"/>
        <v>154</v>
      </c>
      <c r="AN153" s="49" t="s">
        <v>305</v>
      </c>
      <c r="AO153" s="51" t="str">
        <f>IFERROR(VLOOKUP(AN153,'[1]back office'!$A$36:$B$38,2,FALSE),"-")</f>
        <v>-</v>
      </c>
    </row>
    <row r="154" spans="1:41">
      <c r="A154" s="47" t="s">
        <v>306</v>
      </c>
      <c r="B154" s="50" t="str">
        <f>IF(C154="","",IF(C154&gt;=PQCDSM!$G$4,"AA",IF(AND(C154&gt;=PQCDSM!$G$3,C154&lt;PQCDSM!$G$4),"A",IF(AND(C154&gt;=PQCDSM!$G$2,C154&lt;PQCDSM!$G$3),"B","C"))))</f>
        <v>A</v>
      </c>
      <c r="C154" s="50">
        <f t="shared" si="72"/>
        <v>235</v>
      </c>
      <c r="D154" s="49" t="s">
        <v>50</v>
      </c>
      <c r="E154" s="49" t="s">
        <v>73</v>
      </c>
      <c r="F154" s="49" t="s">
        <v>74</v>
      </c>
      <c r="G154" s="49" t="s">
        <v>53</v>
      </c>
      <c r="H154" s="49" t="s">
        <v>54</v>
      </c>
      <c r="I154" s="49" t="s">
        <v>78</v>
      </c>
      <c r="J154" s="50">
        <f>IFERROR(VLOOKUP(D154,'[1]back office'!$A$4:$B$6,2,FALSE),"-")</f>
        <v>25</v>
      </c>
      <c r="K154" s="50">
        <f>IFERROR(VLOOKUP(E154,'[1]back office'!$C$4:$D$6,2,FALSE),"-")</f>
        <v>0</v>
      </c>
      <c r="L154" s="50">
        <f>IFERROR(VLOOKUP(F154,'[1]back office'!$E$4:$F$6,2,FALSE),"-")</f>
        <v>15</v>
      </c>
      <c r="M154" s="50">
        <f>IFERROR(VLOOKUP(G154,'[1]back office'!$G$4:$H$6,2,FALSE),"-")</f>
        <v>15</v>
      </c>
      <c r="N154" s="50">
        <f>IFERROR(VLOOKUP(H154,'[1]back office'!$I$4:$J$6,2,FALSE),"-")</f>
        <v>0</v>
      </c>
      <c r="O154" s="50" t="str">
        <f>IFERROR(VLOOKUP(I154,'[1]back office'!$K$4:$L$6,2,FALSE),"-")</f>
        <v>-</v>
      </c>
      <c r="P154" s="51">
        <f t="shared" si="73"/>
        <v>55</v>
      </c>
      <c r="Q154" s="49" t="s">
        <v>54</v>
      </c>
      <c r="R154" s="49" t="s">
        <v>57</v>
      </c>
      <c r="S154" s="49" t="s">
        <v>58</v>
      </c>
      <c r="T154" s="50">
        <f>IFERROR(VLOOKUP(Q154,'[1]back office'!$A$11:$B$13,2,FALSE),"-")</f>
        <v>0</v>
      </c>
      <c r="U154" s="50">
        <f>IFERROR(VLOOKUP(R154,'[1]back office'!$C$11:$D$13,2,FALSE),"-")</f>
        <v>0</v>
      </c>
      <c r="V154" s="50" t="str">
        <f>IFERROR(VLOOKUP(S154,'[1]back office'!$E$11:$F$13,2,FALSE),"-")</f>
        <v>-</v>
      </c>
      <c r="W154" s="51">
        <f t="shared" si="74"/>
        <v>0</v>
      </c>
      <c r="X154" s="49" t="s">
        <v>70</v>
      </c>
      <c r="Y154" s="49" t="s">
        <v>84</v>
      </c>
      <c r="Z154" s="49" t="s">
        <v>75</v>
      </c>
      <c r="AA154" s="49" t="s">
        <v>76</v>
      </c>
      <c r="AB154" s="50" t="str">
        <f>IFERROR(VLOOKUP(X154,'[1]back office'!$A$17:$B$19,2,FALSE),"-")</f>
        <v>-</v>
      </c>
      <c r="AC154" s="50">
        <f>IFERROR(VLOOKUP(Y154,'[1]back office'!$C$17:$D$19,2,FALSE),"-")</f>
        <v>5</v>
      </c>
      <c r="AD154" s="50">
        <f>IFERROR(VLOOKUP(Z154,'[1]back office'!$E$17:$F$19,2,FALSE),"-")</f>
        <v>20</v>
      </c>
      <c r="AE154" s="50">
        <f>IFERROR(VLOOKUP(AA154,'[1]back office'!$G$17:$H$19,2,FALSE),"-")</f>
        <v>0</v>
      </c>
      <c r="AF154" s="51">
        <f t="shared" si="75"/>
        <v>25</v>
      </c>
      <c r="AG154" s="49" t="s">
        <v>63</v>
      </c>
      <c r="AH154" s="51">
        <f>IFERROR(VLOOKUP(AG154,'[1]back office'!$A$23:$B$25,2,FALSE),"-")</f>
        <v>0</v>
      </c>
      <c r="AI154" s="49">
        <v>50</v>
      </c>
      <c r="AJ154" s="49">
        <v>15</v>
      </c>
      <c r="AK154" s="49">
        <f t="shared" si="76"/>
        <v>50</v>
      </c>
      <c r="AL154" s="49">
        <v>105</v>
      </c>
      <c r="AM154" s="51">
        <f t="shared" si="77"/>
        <v>155</v>
      </c>
      <c r="AN154" s="49" t="s">
        <v>307</v>
      </c>
      <c r="AO154" s="51" t="str">
        <f>IFERROR(VLOOKUP(AN154,'[1]back office'!$A$36:$B$38,2,FALSE),"-")</f>
        <v>-</v>
      </c>
    </row>
    <row r="155" spans="1:41">
      <c r="A155" s="47" t="s">
        <v>308</v>
      </c>
      <c r="B155" s="50" t="str">
        <f>IF(C155="","",IF(C155&gt;=PQCDSM!$G$4,"AA",IF(AND(C155&gt;=PQCDSM!$G$3,C155&lt;PQCDSM!$G$4),"A",IF(AND(C155&gt;=PQCDSM!$G$2,C155&lt;PQCDSM!$G$3),"B","C"))))</f>
        <v>A</v>
      </c>
      <c r="C155" s="50">
        <f t="shared" si="72"/>
        <v>236</v>
      </c>
      <c r="D155" s="49" t="s">
        <v>50</v>
      </c>
      <c r="E155" s="49" t="s">
        <v>73</v>
      </c>
      <c r="F155" s="49" t="s">
        <v>74</v>
      </c>
      <c r="G155" s="49" t="s">
        <v>53</v>
      </c>
      <c r="H155" s="49" t="s">
        <v>54</v>
      </c>
      <c r="I155" s="49" t="s">
        <v>78</v>
      </c>
      <c r="J155" s="50">
        <f>IFERROR(VLOOKUP(D155,'[1]back office'!$A$4:$B$6,2,FALSE),"-")</f>
        <v>25</v>
      </c>
      <c r="K155" s="50">
        <f>IFERROR(VLOOKUP(E155,'[1]back office'!$C$4:$D$6,2,FALSE),"-")</f>
        <v>0</v>
      </c>
      <c r="L155" s="50">
        <f>IFERROR(VLOOKUP(F155,'[1]back office'!$E$4:$F$6,2,FALSE),"-")</f>
        <v>15</v>
      </c>
      <c r="M155" s="50">
        <f>IFERROR(VLOOKUP(G155,'[1]back office'!$G$4:$H$6,2,FALSE),"-")</f>
        <v>15</v>
      </c>
      <c r="N155" s="50">
        <f>IFERROR(VLOOKUP(H155,'[1]back office'!$I$4:$J$6,2,FALSE),"-")</f>
        <v>0</v>
      </c>
      <c r="O155" s="50" t="str">
        <f>IFERROR(VLOOKUP(I155,'[1]back office'!$K$4:$L$6,2,FALSE),"-")</f>
        <v>-</v>
      </c>
      <c r="P155" s="51">
        <f t="shared" si="73"/>
        <v>55</v>
      </c>
      <c r="Q155" s="49" t="s">
        <v>54</v>
      </c>
      <c r="R155" s="49" t="s">
        <v>57</v>
      </c>
      <c r="S155" s="49" t="s">
        <v>58</v>
      </c>
      <c r="T155" s="50">
        <f>IFERROR(VLOOKUP(Q155,'[1]back office'!$A$11:$B$13,2,FALSE),"-")</f>
        <v>0</v>
      </c>
      <c r="U155" s="50">
        <f>IFERROR(VLOOKUP(R155,'[1]back office'!$C$11:$D$13,2,FALSE),"-")</f>
        <v>0</v>
      </c>
      <c r="V155" s="50" t="str">
        <f>IFERROR(VLOOKUP(S155,'[1]back office'!$E$11:$F$13,2,FALSE),"-")</f>
        <v>-</v>
      </c>
      <c r="W155" s="51">
        <f t="shared" si="74"/>
        <v>0</v>
      </c>
      <c r="X155" s="49" t="s">
        <v>70</v>
      </c>
      <c r="Y155" s="49" t="s">
        <v>84</v>
      </c>
      <c r="Z155" s="49" t="s">
        <v>75</v>
      </c>
      <c r="AA155" s="49" t="s">
        <v>76</v>
      </c>
      <c r="AB155" s="50" t="str">
        <f>IFERROR(VLOOKUP(X155,'[1]back office'!$A$17:$B$19,2,FALSE),"-")</f>
        <v>-</v>
      </c>
      <c r="AC155" s="50">
        <f>IFERROR(VLOOKUP(Y155,'[1]back office'!$C$17:$D$19,2,FALSE),"-")</f>
        <v>5</v>
      </c>
      <c r="AD155" s="50">
        <f>IFERROR(VLOOKUP(Z155,'[1]back office'!$E$17:$F$19,2,FALSE),"-")</f>
        <v>20</v>
      </c>
      <c r="AE155" s="50">
        <f>IFERROR(VLOOKUP(AA155,'[1]back office'!$G$17:$H$19,2,FALSE),"-")</f>
        <v>0</v>
      </c>
      <c r="AF155" s="51">
        <f t="shared" si="75"/>
        <v>25</v>
      </c>
      <c r="AG155" s="49" t="s">
        <v>63</v>
      </c>
      <c r="AH155" s="51">
        <f>IFERROR(VLOOKUP(AG155,'[1]back office'!$A$23:$B$25,2,FALSE),"-")</f>
        <v>0</v>
      </c>
      <c r="AI155" s="49">
        <v>50</v>
      </c>
      <c r="AJ155" s="49">
        <v>15</v>
      </c>
      <c r="AK155" s="49">
        <f t="shared" si="76"/>
        <v>50</v>
      </c>
      <c r="AL155" s="49">
        <v>106</v>
      </c>
      <c r="AM155" s="51">
        <f t="shared" si="77"/>
        <v>156</v>
      </c>
      <c r="AN155" s="49" t="s">
        <v>309</v>
      </c>
      <c r="AO155" s="51" t="str">
        <f>IFERROR(VLOOKUP(AN155,'[1]back office'!$A$36:$B$38,2,FALSE),"-")</f>
        <v>-</v>
      </c>
    </row>
    <row r="156" spans="1:41">
      <c r="A156" s="47" t="s">
        <v>310</v>
      </c>
      <c r="B156" s="50" t="str">
        <f>IF(C156="","",IF(C156&gt;=PQCDSM!$G$4,"AA",IF(AND(C156&gt;=PQCDSM!$G$3,C156&lt;PQCDSM!$G$4),"A",IF(AND(C156&gt;=PQCDSM!$G$2,C156&lt;PQCDSM!$G$3),"B","C"))))</f>
        <v>A</v>
      </c>
      <c r="C156" s="50">
        <f t="shared" si="72"/>
        <v>237</v>
      </c>
      <c r="D156" s="49" t="s">
        <v>50</v>
      </c>
      <c r="E156" s="49" t="s">
        <v>73</v>
      </c>
      <c r="F156" s="49" t="s">
        <v>74</v>
      </c>
      <c r="G156" s="49" t="s">
        <v>53</v>
      </c>
      <c r="H156" s="49" t="s">
        <v>54</v>
      </c>
      <c r="I156" s="49" t="s">
        <v>78</v>
      </c>
      <c r="J156" s="50">
        <f>IFERROR(VLOOKUP(D156,'[1]back office'!$A$4:$B$6,2,FALSE),"-")</f>
        <v>25</v>
      </c>
      <c r="K156" s="50">
        <f>IFERROR(VLOOKUP(E156,'[1]back office'!$C$4:$D$6,2,FALSE),"-")</f>
        <v>0</v>
      </c>
      <c r="L156" s="50">
        <f>IFERROR(VLOOKUP(F156,'[1]back office'!$E$4:$F$6,2,FALSE),"-")</f>
        <v>15</v>
      </c>
      <c r="M156" s="50">
        <f>IFERROR(VLOOKUP(G156,'[1]back office'!$G$4:$H$6,2,FALSE),"-")</f>
        <v>15</v>
      </c>
      <c r="N156" s="50">
        <f>IFERROR(VLOOKUP(H156,'[1]back office'!$I$4:$J$6,2,FALSE),"-")</f>
        <v>0</v>
      </c>
      <c r="O156" s="50" t="str">
        <f>IFERROR(VLOOKUP(I156,'[1]back office'!$K$4:$L$6,2,FALSE),"-")</f>
        <v>-</v>
      </c>
      <c r="P156" s="51">
        <f t="shared" si="73"/>
        <v>55</v>
      </c>
      <c r="Q156" s="49" t="s">
        <v>54</v>
      </c>
      <c r="R156" s="49" t="s">
        <v>57</v>
      </c>
      <c r="S156" s="49" t="s">
        <v>58</v>
      </c>
      <c r="T156" s="50">
        <f>IFERROR(VLOOKUP(Q156,'[1]back office'!$A$11:$B$13,2,FALSE),"-")</f>
        <v>0</v>
      </c>
      <c r="U156" s="50">
        <f>IFERROR(VLOOKUP(R156,'[1]back office'!$C$11:$D$13,2,FALSE),"-")</f>
        <v>0</v>
      </c>
      <c r="V156" s="50" t="str">
        <f>IFERROR(VLOOKUP(S156,'[1]back office'!$E$11:$F$13,2,FALSE),"-")</f>
        <v>-</v>
      </c>
      <c r="W156" s="51">
        <f t="shared" si="74"/>
        <v>0</v>
      </c>
      <c r="X156" s="49" t="s">
        <v>70</v>
      </c>
      <c r="Y156" s="49" t="s">
        <v>84</v>
      </c>
      <c r="Z156" s="49" t="s">
        <v>75</v>
      </c>
      <c r="AA156" s="49" t="s">
        <v>76</v>
      </c>
      <c r="AB156" s="50" t="str">
        <f>IFERROR(VLOOKUP(X156,'[1]back office'!$A$17:$B$19,2,FALSE),"-")</f>
        <v>-</v>
      </c>
      <c r="AC156" s="50">
        <f>IFERROR(VLOOKUP(Y156,'[1]back office'!$C$17:$D$19,2,FALSE),"-")</f>
        <v>5</v>
      </c>
      <c r="AD156" s="50">
        <f>IFERROR(VLOOKUP(Z156,'[1]back office'!$E$17:$F$19,2,FALSE),"-")</f>
        <v>20</v>
      </c>
      <c r="AE156" s="50">
        <f>IFERROR(VLOOKUP(AA156,'[1]back office'!$G$17:$H$19,2,FALSE),"-")</f>
        <v>0</v>
      </c>
      <c r="AF156" s="51">
        <f t="shared" si="75"/>
        <v>25</v>
      </c>
      <c r="AG156" s="49" t="s">
        <v>63</v>
      </c>
      <c r="AH156" s="51">
        <f>IFERROR(VLOOKUP(AG156,'[1]back office'!$A$23:$B$25,2,FALSE),"-")</f>
        <v>0</v>
      </c>
      <c r="AI156" s="49">
        <v>50</v>
      </c>
      <c r="AJ156" s="49">
        <v>15</v>
      </c>
      <c r="AK156" s="49">
        <f t="shared" si="76"/>
        <v>50</v>
      </c>
      <c r="AL156" s="49">
        <v>107</v>
      </c>
      <c r="AM156" s="51">
        <f t="shared" si="77"/>
        <v>157</v>
      </c>
      <c r="AN156" s="49" t="s">
        <v>311</v>
      </c>
      <c r="AO156" s="51" t="str">
        <f>IFERROR(VLOOKUP(AN156,'[1]back office'!$A$36:$B$38,2,FALSE),"-")</f>
        <v>-</v>
      </c>
    </row>
    <row r="157" spans="1:41">
      <c r="A157" s="47" t="s">
        <v>312</v>
      </c>
      <c r="B157" s="50" t="str">
        <f>IF(C157="","",IF(C157&gt;=PQCDSM!$G$4,"AA",IF(AND(C157&gt;=PQCDSM!$G$3,C157&lt;PQCDSM!$G$4),"A",IF(AND(C157&gt;=PQCDSM!$G$2,C157&lt;PQCDSM!$G$3),"B","C"))))</f>
        <v>A</v>
      </c>
      <c r="C157" s="50">
        <f t="shared" si="72"/>
        <v>238</v>
      </c>
      <c r="D157" s="49" t="s">
        <v>50</v>
      </c>
      <c r="E157" s="49" t="s">
        <v>92</v>
      </c>
      <c r="F157" s="49" t="s">
        <v>313</v>
      </c>
      <c r="G157" s="49" t="s">
        <v>53</v>
      </c>
      <c r="H157" s="49" t="s">
        <v>54</v>
      </c>
      <c r="I157" s="49" t="s">
        <v>78</v>
      </c>
      <c r="J157" s="50">
        <f>IFERROR(VLOOKUP(D157,'[1]back office'!$A$4:$B$6,2,FALSE),"-")</f>
        <v>25</v>
      </c>
      <c r="K157" s="50">
        <f>IFERROR(VLOOKUP(E157,'[1]back office'!$C$4:$D$6,2,FALSE),"-")</f>
        <v>15</v>
      </c>
      <c r="L157" s="50">
        <f>IFERROR(VLOOKUP(F157,'[1]back office'!$E$4:$F$6,2,FALSE),"-")</f>
        <v>0</v>
      </c>
      <c r="M157" s="50">
        <f>IFERROR(VLOOKUP(G157,'[1]back office'!$G$4:$H$6,2,FALSE),"-")</f>
        <v>15</v>
      </c>
      <c r="N157" s="50">
        <f>IFERROR(VLOOKUP(H157,'[1]back office'!$I$4:$J$6,2,FALSE),"-")</f>
        <v>0</v>
      </c>
      <c r="O157" s="50" t="str">
        <f>IFERROR(VLOOKUP(I157,'[1]back office'!$K$4:$L$6,2,FALSE),"-")</f>
        <v>-</v>
      </c>
      <c r="P157" s="51">
        <f t="shared" si="73"/>
        <v>55</v>
      </c>
      <c r="Q157" s="49" t="s">
        <v>54</v>
      </c>
      <c r="R157" s="49" t="s">
        <v>57</v>
      </c>
      <c r="S157" s="49" t="s">
        <v>58</v>
      </c>
      <c r="T157" s="50">
        <f>IFERROR(VLOOKUP(Q157,'[1]back office'!$A$11:$B$13,2,FALSE),"-")</f>
        <v>0</v>
      </c>
      <c r="U157" s="50">
        <f>IFERROR(VLOOKUP(R157,'[1]back office'!$C$11:$D$13,2,FALSE),"-")</f>
        <v>0</v>
      </c>
      <c r="V157" s="50" t="str">
        <f>IFERROR(VLOOKUP(S157,'[1]back office'!$E$11:$F$13,2,FALSE),"-")</f>
        <v>-</v>
      </c>
      <c r="W157" s="51">
        <f t="shared" si="74"/>
        <v>0</v>
      </c>
      <c r="X157" s="49" t="s">
        <v>70</v>
      </c>
      <c r="Y157" s="49" t="s">
        <v>84</v>
      </c>
      <c r="Z157" s="49" t="s">
        <v>75</v>
      </c>
      <c r="AA157" s="49" t="s">
        <v>76</v>
      </c>
      <c r="AB157" s="50" t="str">
        <f>IFERROR(VLOOKUP(X157,'[1]back office'!$A$17:$B$19,2,FALSE),"-")</f>
        <v>-</v>
      </c>
      <c r="AC157" s="50">
        <f>IFERROR(VLOOKUP(Y157,'[1]back office'!$C$17:$D$19,2,FALSE),"-")</f>
        <v>5</v>
      </c>
      <c r="AD157" s="50">
        <f>IFERROR(VLOOKUP(Z157,'[1]back office'!$E$17:$F$19,2,FALSE),"-")</f>
        <v>20</v>
      </c>
      <c r="AE157" s="50">
        <f>IFERROR(VLOOKUP(AA157,'[1]back office'!$G$17:$H$19,2,FALSE),"-")</f>
        <v>0</v>
      </c>
      <c r="AF157" s="51">
        <f t="shared" si="75"/>
        <v>25</v>
      </c>
      <c r="AG157" s="49" t="s">
        <v>63</v>
      </c>
      <c r="AH157" s="51">
        <f>IFERROR(VLOOKUP(AG157,'[1]back office'!$A$23:$B$25,2,FALSE),"-")</f>
        <v>0</v>
      </c>
      <c r="AI157" s="49">
        <v>50</v>
      </c>
      <c r="AJ157" s="49">
        <v>15</v>
      </c>
      <c r="AK157" s="49">
        <f t="shared" si="76"/>
        <v>50</v>
      </c>
      <c r="AL157" s="49">
        <v>108</v>
      </c>
      <c r="AM157" s="51">
        <f t="shared" si="77"/>
        <v>158</v>
      </c>
      <c r="AN157" s="49" t="s">
        <v>314</v>
      </c>
      <c r="AO157" s="51" t="str">
        <f>IFERROR(VLOOKUP(AN157,'[1]back office'!$A$36:$B$38,2,FALSE),"-")</f>
        <v>-</v>
      </c>
    </row>
    <row r="158" spans="1:41">
      <c r="A158" s="47" t="s">
        <v>315</v>
      </c>
      <c r="B158" s="50" t="str">
        <f>IF(C158="","",IF(C158&gt;=PQCDSM!$G$4,"AA",IF(AND(C158&gt;=PQCDSM!$G$3,C158&lt;PQCDSM!$G$4),"A",IF(AND(C158&gt;=PQCDSM!$G$2,C158&lt;PQCDSM!$G$3),"B","C"))))</f>
        <v>A</v>
      </c>
      <c r="C158" s="50">
        <f t="shared" si="72"/>
        <v>239</v>
      </c>
      <c r="D158" s="49" t="s">
        <v>50</v>
      </c>
      <c r="E158" s="49" t="s">
        <v>92</v>
      </c>
      <c r="F158" s="49" t="s">
        <v>313</v>
      </c>
      <c r="G158" s="49" t="s">
        <v>53</v>
      </c>
      <c r="H158" s="49" t="s">
        <v>54</v>
      </c>
      <c r="I158" s="49" t="s">
        <v>78</v>
      </c>
      <c r="J158" s="50">
        <f>IFERROR(VLOOKUP(D158,'[1]back office'!$A$4:$B$6,2,FALSE),"-")</f>
        <v>25</v>
      </c>
      <c r="K158" s="50">
        <f>IFERROR(VLOOKUP(E158,'[1]back office'!$C$4:$D$6,2,FALSE),"-")</f>
        <v>15</v>
      </c>
      <c r="L158" s="50">
        <f>IFERROR(VLOOKUP(F158,'[1]back office'!$E$4:$F$6,2,FALSE),"-")</f>
        <v>0</v>
      </c>
      <c r="M158" s="50">
        <f>IFERROR(VLOOKUP(G158,'[1]back office'!$G$4:$H$6,2,FALSE),"-")</f>
        <v>15</v>
      </c>
      <c r="N158" s="50">
        <f>IFERROR(VLOOKUP(H158,'[1]back office'!$I$4:$J$6,2,FALSE),"-")</f>
        <v>0</v>
      </c>
      <c r="O158" s="50" t="str">
        <f>IFERROR(VLOOKUP(I158,'[1]back office'!$K$4:$L$6,2,FALSE),"-")</f>
        <v>-</v>
      </c>
      <c r="P158" s="51">
        <f t="shared" si="73"/>
        <v>55</v>
      </c>
      <c r="Q158" s="49" t="s">
        <v>54</v>
      </c>
      <c r="R158" s="49" t="s">
        <v>57</v>
      </c>
      <c r="S158" s="49" t="s">
        <v>58</v>
      </c>
      <c r="T158" s="50">
        <f>IFERROR(VLOOKUP(Q158,'[1]back office'!$A$11:$B$13,2,FALSE),"-")</f>
        <v>0</v>
      </c>
      <c r="U158" s="50">
        <f>IFERROR(VLOOKUP(R158,'[1]back office'!$C$11:$D$13,2,FALSE),"-")</f>
        <v>0</v>
      </c>
      <c r="V158" s="50" t="str">
        <f>IFERROR(VLOOKUP(S158,'[1]back office'!$E$11:$F$13,2,FALSE),"-")</f>
        <v>-</v>
      </c>
      <c r="W158" s="51">
        <f t="shared" si="74"/>
        <v>0</v>
      </c>
      <c r="X158" s="49" t="s">
        <v>70</v>
      </c>
      <c r="Y158" s="49" t="s">
        <v>84</v>
      </c>
      <c r="Z158" s="49" t="s">
        <v>75</v>
      </c>
      <c r="AA158" s="49" t="s">
        <v>76</v>
      </c>
      <c r="AB158" s="50" t="str">
        <f>IFERROR(VLOOKUP(X158,'[1]back office'!$A$17:$B$19,2,FALSE),"-")</f>
        <v>-</v>
      </c>
      <c r="AC158" s="50">
        <f>IFERROR(VLOOKUP(Y158,'[1]back office'!$C$17:$D$19,2,FALSE),"-")</f>
        <v>5</v>
      </c>
      <c r="AD158" s="50">
        <f>IFERROR(VLOOKUP(Z158,'[1]back office'!$E$17:$F$19,2,FALSE),"-")</f>
        <v>20</v>
      </c>
      <c r="AE158" s="50">
        <f>IFERROR(VLOOKUP(AA158,'[1]back office'!$G$17:$H$19,2,FALSE),"-")</f>
        <v>0</v>
      </c>
      <c r="AF158" s="51">
        <f t="shared" si="75"/>
        <v>25</v>
      </c>
      <c r="AG158" s="49" t="s">
        <v>63</v>
      </c>
      <c r="AH158" s="51">
        <f>IFERROR(VLOOKUP(AG158,'[1]back office'!$A$23:$B$25,2,FALSE),"-")</f>
        <v>0</v>
      </c>
      <c r="AI158" s="49">
        <v>50</v>
      </c>
      <c r="AJ158" s="49">
        <v>15</v>
      </c>
      <c r="AK158" s="49">
        <f t="shared" si="76"/>
        <v>50</v>
      </c>
      <c r="AL158" s="49">
        <v>109</v>
      </c>
      <c r="AM158" s="51">
        <f t="shared" si="77"/>
        <v>159</v>
      </c>
      <c r="AN158" s="49" t="s">
        <v>316</v>
      </c>
      <c r="AO158" s="51" t="str">
        <f>IFERROR(VLOOKUP(AN158,'[1]back office'!$A$36:$B$38,2,FALSE),"-")</f>
        <v>-</v>
      </c>
    </row>
    <row r="159" spans="1:41">
      <c r="A159" s="47" t="s">
        <v>317</v>
      </c>
      <c r="B159" s="50" t="str">
        <f>IF(C159="","",IF(C159&gt;=PQCDSM!$G$4,"AA",IF(AND(C159&gt;=PQCDSM!$G$3,C159&lt;PQCDSM!$G$4),"A",IF(AND(C159&gt;=PQCDSM!$G$2,C159&lt;PQCDSM!$G$3),"B","C"))))</f>
        <v>A</v>
      </c>
      <c r="C159" s="50">
        <f t="shared" si="72"/>
        <v>240</v>
      </c>
      <c r="D159" s="49" t="s">
        <v>50</v>
      </c>
      <c r="E159" s="49" t="s">
        <v>92</v>
      </c>
      <c r="F159" s="49" t="s">
        <v>313</v>
      </c>
      <c r="G159" s="49" t="s">
        <v>53</v>
      </c>
      <c r="H159" s="49" t="s">
        <v>54</v>
      </c>
      <c r="I159" s="49" t="s">
        <v>78</v>
      </c>
      <c r="J159" s="50">
        <f>IFERROR(VLOOKUP(D159,'[1]back office'!$A$4:$B$6,2,FALSE),"-")</f>
        <v>25</v>
      </c>
      <c r="K159" s="50">
        <f>IFERROR(VLOOKUP(E159,'[1]back office'!$C$4:$D$6,2,FALSE),"-")</f>
        <v>15</v>
      </c>
      <c r="L159" s="50">
        <f>IFERROR(VLOOKUP(F159,'[1]back office'!$E$4:$F$6,2,FALSE),"-")</f>
        <v>0</v>
      </c>
      <c r="M159" s="50">
        <f>IFERROR(VLOOKUP(G159,'[1]back office'!$G$4:$H$6,2,FALSE),"-")</f>
        <v>15</v>
      </c>
      <c r="N159" s="50">
        <f>IFERROR(VLOOKUP(H159,'[1]back office'!$I$4:$J$6,2,FALSE),"-")</f>
        <v>0</v>
      </c>
      <c r="O159" s="50" t="str">
        <f>IFERROR(VLOOKUP(I159,'[1]back office'!$K$4:$L$6,2,FALSE),"-")</f>
        <v>-</v>
      </c>
      <c r="P159" s="51">
        <f t="shared" si="73"/>
        <v>55</v>
      </c>
      <c r="Q159" s="49" t="s">
        <v>54</v>
      </c>
      <c r="R159" s="49" t="s">
        <v>57</v>
      </c>
      <c r="S159" s="49" t="s">
        <v>58</v>
      </c>
      <c r="T159" s="50">
        <f>IFERROR(VLOOKUP(Q159,'[1]back office'!$A$11:$B$13,2,FALSE),"-")</f>
        <v>0</v>
      </c>
      <c r="U159" s="50">
        <f>IFERROR(VLOOKUP(R159,'[1]back office'!$C$11:$D$13,2,FALSE),"-")</f>
        <v>0</v>
      </c>
      <c r="V159" s="50" t="str">
        <f>IFERROR(VLOOKUP(S159,'[1]back office'!$E$11:$F$13,2,FALSE),"-")</f>
        <v>-</v>
      </c>
      <c r="W159" s="51">
        <f t="shared" si="74"/>
        <v>0</v>
      </c>
      <c r="X159" s="49" t="s">
        <v>70</v>
      </c>
      <c r="Y159" s="49" t="s">
        <v>84</v>
      </c>
      <c r="Z159" s="49" t="s">
        <v>75</v>
      </c>
      <c r="AA159" s="49" t="s">
        <v>76</v>
      </c>
      <c r="AB159" s="50" t="str">
        <f>IFERROR(VLOOKUP(X159,'[1]back office'!$A$17:$B$19,2,FALSE),"-")</f>
        <v>-</v>
      </c>
      <c r="AC159" s="50">
        <f>IFERROR(VLOOKUP(Y159,'[1]back office'!$C$17:$D$19,2,FALSE),"-")</f>
        <v>5</v>
      </c>
      <c r="AD159" s="50">
        <f>IFERROR(VLOOKUP(Z159,'[1]back office'!$E$17:$F$19,2,FALSE),"-")</f>
        <v>20</v>
      </c>
      <c r="AE159" s="50">
        <f>IFERROR(VLOOKUP(AA159,'[1]back office'!$G$17:$H$19,2,FALSE),"-")</f>
        <v>0</v>
      </c>
      <c r="AF159" s="51">
        <f t="shared" si="75"/>
        <v>25</v>
      </c>
      <c r="AG159" s="49" t="s">
        <v>63</v>
      </c>
      <c r="AH159" s="51">
        <f>IFERROR(VLOOKUP(AG159,'[1]back office'!$A$23:$B$25,2,FALSE),"-")</f>
        <v>0</v>
      </c>
      <c r="AI159" s="49">
        <v>50</v>
      </c>
      <c r="AJ159" s="49">
        <v>15</v>
      </c>
      <c r="AK159" s="49">
        <f t="shared" si="76"/>
        <v>50</v>
      </c>
      <c r="AL159" s="49">
        <v>110</v>
      </c>
      <c r="AM159" s="51">
        <f t="shared" si="77"/>
        <v>160</v>
      </c>
      <c r="AN159" s="49" t="s">
        <v>318</v>
      </c>
      <c r="AO159" s="51" t="str">
        <f>IFERROR(VLOOKUP(AN159,'[1]back office'!$A$36:$B$38,2,FALSE),"-")</f>
        <v>-</v>
      </c>
    </row>
    <row r="160" spans="1:41">
      <c r="A160" s="47" t="s">
        <v>319</v>
      </c>
      <c r="B160" s="50" t="str">
        <f>IF(C160="","",IF(C160&gt;=PQCDSM!$G$4,"AA",IF(AND(C160&gt;=PQCDSM!$G$3,C160&lt;PQCDSM!$G$4),"A",IF(AND(C160&gt;=PQCDSM!$G$2,C160&lt;PQCDSM!$G$3),"B","C"))))</f>
        <v>A</v>
      </c>
      <c r="C160" s="50">
        <f t="shared" ref="C160:C172" si="78">IF(SUM(P160,W160,AF160,AH160,AM160,AO160)=0,"",SUM(P160,W160,AF160,AH160,AM160,AO160))</f>
        <v>240</v>
      </c>
      <c r="D160" s="49" t="s">
        <v>50</v>
      </c>
      <c r="E160" s="49" t="s">
        <v>92</v>
      </c>
      <c r="F160" s="49" t="s">
        <v>313</v>
      </c>
      <c r="G160" s="49" t="s">
        <v>53</v>
      </c>
      <c r="H160" s="49" t="s">
        <v>54</v>
      </c>
      <c r="I160" s="49" t="s">
        <v>78</v>
      </c>
      <c r="J160" s="50">
        <f>IFERROR(VLOOKUP(D160,'[1]back office'!$A$4:$B$6,2,FALSE),"-")</f>
        <v>25</v>
      </c>
      <c r="K160" s="50">
        <f>IFERROR(VLOOKUP(E160,'[1]back office'!$C$4:$D$6,2,FALSE),"-")</f>
        <v>15</v>
      </c>
      <c r="L160" s="50">
        <f>IFERROR(VLOOKUP(F160,'[1]back office'!$E$4:$F$6,2,FALSE),"-")</f>
        <v>0</v>
      </c>
      <c r="M160" s="50">
        <f>IFERROR(VLOOKUP(G160,'[1]back office'!$G$4:$H$6,2,FALSE),"-")</f>
        <v>15</v>
      </c>
      <c r="N160" s="50">
        <f>IFERROR(VLOOKUP(H160,'[1]back office'!$I$4:$J$6,2,FALSE),"-")</f>
        <v>0</v>
      </c>
      <c r="O160" s="50" t="str">
        <f>IFERROR(VLOOKUP(I160,'[1]back office'!$K$4:$L$6,2,FALSE),"-")</f>
        <v>-</v>
      </c>
      <c r="P160" s="51">
        <f t="shared" ref="P160:P172" si="79">SUM(J160:O160)</f>
        <v>55</v>
      </c>
      <c r="Q160" s="49" t="s">
        <v>54</v>
      </c>
      <c r="R160" s="49" t="s">
        <v>57</v>
      </c>
      <c r="S160" s="49" t="s">
        <v>58</v>
      </c>
      <c r="T160" s="50">
        <f>IFERROR(VLOOKUP(Q160,'[1]back office'!$A$11:$B$13,2,FALSE),"-")</f>
        <v>0</v>
      </c>
      <c r="U160" s="50">
        <f>IFERROR(VLOOKUP(R160,'[1]back office'!$C$11:$D$13,2,FALSE),"-")</f>
        <v>0</v>
      </c>
      <c r="V160" s="50" t="str">
        <f>IFERROR(VLOOKUP(S160,'[1]back office'!$E$11:$F$13,2,FALSE),"-")</f>
        <v>-</v>
      </c>
      <c r="W160" s="51">
        <f t="shared" ref="W160:W172" si="80">SUM(T160:V160)</f>
        <v>0</v>
      </c>
      <c r="X160" s="49" t="s">
        <v>70</v>
      </c>
      <c r="Y160" s="49" t="s">
        <v>84</v>
      </c>
      <c r="Z160" s="49" t="s">
        <v>75</v>
      </c>
      <c r="AA160" s="49" t="s">
        <v>76</v>
      </c>
      <c r="AB160" s="50" t="str">
        <f>IFERROR(VLOOKUP(X160,'[1]back office'!$A$17:$B$19,2,FALSE),"-")</f>
        <v>-</v>
      </c>
      <c r="AC160" s="50">
        <f>IFERROR(VLOOKUP(Y160,'[1]back office'!$C$17:$D$19,2,FALSE),"-")</f>
        <v>5</v>
      </c>
      <c r="AD160" s="50">
        <f>IFERROR(VLOOKUP(Z160,'[1]back office'!$E$17:$F$19,2,FALSE),"-")</f>
        <v>20</v>
      </c>
      <c r="AE160" s="50">
        <f>IFERROR(VLOOKUP(AA160,'[1]back office'!$G$17:$H$19,2,FALSE),"-")</f>
        <v>0</v>
      </c>
      <c r="AF160" s="51">
        <f t="shared" ref="AF160:AF172" si="81">SUM(AB160:AE160)</f>
        <v>25</v>
      </c>
      <c r="AG160" s="49" t="s">
        <v>63</v>
      </c>
      <c r="AH160" s="51">
        <f>IFERROR(VLOOKUP(AG160,'[1]back office'!$A$23:$B$25,2,FALSE),"-")</f>
        <v>0</v>
      </c>
      <c r="AI160" s="49">
        <v>50</v>
      </c>
      <c r="AJ160" s="49">
        <v>15</v>
      </c>
      <c r="AK160" s="49">
        <f t="shared" ref="AK160:AK172" si="82">AI160</f>
        <v>50</v>
      </c>
      <c r="AL160" s="49">
        <v>110</v>
      </c>
      <c r="AM160" s="51">
        <f t="shared" ref="AM160:AM172" si="83">+SUM(AK160:AL160)</f>
        <v>160</v>
      </c>
      <c r="AN160" s="49" t="s">
        <v>318</v>
      </c>
      <c r="AO160" s="51" t="str">
        <f>IFERROR(VLOOKUP(AN160,'[1]back office'!$A$36:$B$38,2,FALSE),"-")</f>
        <v>-</v>
      </c>
    </row>
    <row r="161" spans="1:41">
      <c r="A161" s="47" t="s">
        <v>320</v>
      </c>
      <c r="B161" s="50" t="str">
        <f>IF(C161="","",IF(C161&gt;=PQCDSM!$G$4,"AA",IF(AND(C161&gt;=PQCDSM!$G$3,C161&lt;PQCDSM!$G$4),"A",IF(AND(C161&gt;=PQCDSM!$G$2,C161&lt;PQCDSM!$G$3),"B","C"))))</f>
        <v>A</v>
      </c>
      <c r="C161" s="50">
        <f t="shared" si="78"/>
        <v>240</v>
      </c>
      <c r="D161" s="49" t="s">
        <v>50</v>
      </c>
      <c r="E161" s="49" t="s">
        <v>92</v>
      </c>
      <c r="F161" s="49" t="s">
        <v>313</v>
      </c>
      <c r="G161" s="49" t="s">
        <v>53</v>
      </c>
      <c r="H161" s="49" t="s">
        <v>54</v>
      </c>
      <c r="I161" s="49" t="s">
        <v>78</v>
      </c>
      <c r="J161" s="50">
        <f>IFERROR(VLOOKUP(D161,'[1]back office'!$A$4:$B$6,2,FALSE),"-")</f>
        <v>25</v>
      </c>
      <c r="K161" s="50">
        <f>IFERROR(VLOOKUP(E161,'[1]back office'!$C$4:$D$6,2,FALSE),"-")</f>
        <v>15</v>
      </c>
      <c r="L161" s="50">
        <f>IFERROR(VLOOKUP(F161,'[1]back office'!$E$4:$F$6,2,FALSE),"-")</f>
        <v>0</v>
      </c>
      <c r="M161" s="50">
        <f>IFERROR(VLOOKUP(G161,'[1]back office'!$G$4:$H$6,2,FALSE),"-")</f>
        <v>15</v>
      </c>
      <c r="N161" s="50">
        <f>IFERROR(VLOOKUP(H161,'[1]back office'!$I$4:$J$6,2,FALSE),"-")</f>
        <v>0</v>
      </c>
      <c r="O161" s="50" t="str">
        <f>IFERROR(VLOOKUP(I161,'[1]back office'!$K$4:$L$6,2,FALSE),"-")</f>
        <v>-</v>
      </c>
      <c r="P161" s="51">
        <f t="shared" si="79"/>
        <v>55</v>
      </c>
      <c r="Q161" s="49" t="s">
        <v>54</v>
      </c>
      <c r="R161" s="49" t="s">
        <v>57</v>
      </c>
      <c r="S161" s="49" t="s">
        <v>58</v>
      </c>
      <c r="T161" s="50">
        <f>IFERROR(VLOOKUP(Q161,'[1]back office'!$A$11:$B$13,2,FALSE),"-")</f>
        <v>0</v>
      </c>
      <c r="U161" s="50">
        <f>IFERROR(VLOOKUP(R161,'[1]back office'!$C$11:$D$13,2,FALSE),"-")</f>
        <v>0</v>
      </c>
      <c r="V161" s="50" t="str">
        <f>IFERROR(VLOOKUP(S161,'[1]back office'!$E$11:$F$13,2,FALSE),"-")</f>
        <v>-</v>
      </c>
      <c r="W161" s="51">
        <f t="shared" si="80"/>
        <v>0</v>
      </c>
      <c r="X161" s="49" t="s">
        <v>70</v>
      </c>
      <c r="Y161" s="49" t="s">
        <v>84</v>
      </c>
      <c r="Z161" s="49" t="s">
        <v>75</v>
      </c>
      <c r="AA161" s="49" t="s">
        <v>76</v>
      </c>
      <c r="AB161" s="50" t="str">
        <f>IFERROR(VLOOKUP(X161,'[1]back office'!$A$17:$B$19,2,FALSE),"-")</f>
        <v>-</v>
      </c>
      <c r="AC161" s="50">
        <f>IFERROR(VLOOKUP(Y161,'[1]back office'!$C$17:$D$19,2,FALSE),"-")</f>
        <v>5</v>
      </c>
      <c r="AD161" s="50">
        <f>IFERROR(VLOOKUP(Z161,'[1]back office'!$E$17:$F$19,2,FALSE),"-")</f>
        <v>20</v>
      </c>
      <c r="AE161" s="50">
        <f>IFERROR(VLOOKUP(AA161,'[1]back office'!$G$17:$H$19,2,FALSE),"-")</f>
        <v>0</v>
      </c>
      <c r="AF161" s="51">
        <f t="shared" si="81"/>
        <v>25</v>
      </c>
      <c r="AG161" s="49" t="s">
        <v>63</v>
      </c>
      <c r="AH161" s="51">
        <f>IFERROR(VLOOKUP(AG161,'[1]back office'!$A$23:$B$25,2,FALSE),"-")</f>
        <v>0</v>
      </c>
      <c r="AI161" s="49">
        <v>50</v>
      </c>
      <c r="AJ161" s="49">
        <v>15</v>
      </c>
      <c r="AK161" s="49">
        <f t="shared" si="82"/>
        <v>50</v>
      </c>
      <c r="AL161" s="49">
        <v>110</v>
      </c>
      <c r="AM161" s="51">
        <f t="shared" si="83"/>
        <v>160</v>
      </c>
      <c r="AN161" s="49" t="s">
        <v>318</v>
      </c>
      <c r="AO161" s="51" t="str">
        <f>IFERROR(VLOOKUP(AN161,'[1]back office'!$A$36:$B$38,2,FALSE),"-")</f>
        <v>-</v>
      </c>
    </row>
    <row r="162" spans="1:41">
      <c r="A162" s="47" t="s">
        <v>321</v>
      </c>
      <c r="B162" s="50" t="str">
        <f>IF(C162="","",IF(C162&gt;=PQCDSM!$G$4,"AA",IF(AND(C162&gt;=PQCDSM!$G$3,C162&lt;PQCDSM!$G$4),"A",IF(AND(C162&gt;=PQCDSM!$G$2,C162&lt;PQCDSM!$G$3),"B","C"))))</f>
        <v>AA</v>
      </c>
      <c r="C162" s="50">
        <f t="shared" si="78"/>
        <v>260</v>
      </c>
      <c r="D162" s="49" t="s">
        <v>50</v>
      </c>
      <c r="E162" s="49" t="s">
        <v>73</v>
      </c>
      <c r="F162" s="49" t="s">
        <v>52</v>
      </c>
      <c r="G162" s="49" t="s">
        <v>53</v>
      </c>
      <c r="H162" s="49" t="s">
        <v>54</v>
      </c>
      <c r="I162" s="49" t="s">
        <v>78</v>
      </c>
      <c r="J162" s="50">
        <f>IFERROR(VLOOKUP(D162,'[1]back office'!$A$4:$B$6,2,FALSE),"-")</f>
        <v>25</v>
      </c>
      <c r="K162" s="50">
        <f>IFERROR(VLOOKUP(E162,'[1]back office'!$C$4:$D$6,2,FALSE),"-")</f>
        <v>0</v>
      </c>
      <c r="L162" s="50">
        <f>IFERROR(VLOOKUP(F162,'[1]back office'!$E$4:$F$6,2,FALSE),"-")</f>
        <v>35</v>
      </c>
      <c r="M162" s="50">
        <f>IFERROR(VLOOKUP(G162,'[1]back office'!$G$4:$H$6,2,FALSE),"-")</f>
        <v>15</v>
      </c>
      <c r="N162" s="50">
        <f>IFERROR(VLOOKUP(H162,'[1]back office'!$I$4:$J$6,2,FALSE),"-")</f>
        <v>0</v>
      </c>
      <c r="O162" s="50" t="str">
        <f>IFERROR(VLOOKUP(I162,'[1]back office'!$K$4:$L$6,2,FALSE),"-")</f>
        <v>-</v>
      </c>
      <c r="P162" s="51">
        <f t="shared" si="79"/>
        <v>75</v>
      </c>
      <c r="Q162" s="49" t="s">
        <v>54</v>
      </c>
      <c r="R162" s="49" t="s">
        <v>57</v>
      </c>
      <c r="S162" s="49" t="s">
        <v>58</v>
      </c>
      <c r="T162" s="50">
        <f>IFERROR(VLOOKUP(Q162,'[1]back office'!$A$11:$B$13,2,FALSE),"-")</f>
        <v>0</v>
      </c>
      <c r="U162" s="50">
        <f>IFERROR(VLOOKUP(R162,'[1]back office'!$C$11:$D$13,2,FALSE),"-")</f>
        <v>0</v>
      </c>
      <c r="V162" s="50" t="str">
        <f>IFERROR(VLOOKUP(S162,'[1]back office'!$E$11:$F$13,2,FALSE),"-")</f>
        <v>-</v>
      </c>
      <c r="W162" s="51">
        <f t="shared" si="80"/>
        <v>0</v>
      </c>
      <c r="X162" s="49" t="s">
        <v>70</v>
      </c>
      <c r="Y162" s="49" t="s">
        <v>84</v>
      </c>
      <c r="Z162" s="49" t="s">
        <v>75</v>
      </c>
      <c r="AA162" s="49" t="s">
        <v>76</v>
      </c>
      <c r="AB162" s="50" t="str">
        <f>IFERROR(VLOOKUP(X162,'[1]back office'!$A$17:$B$19,2,FALSE),"-")</f>
        <v>-</v>
      </c>
      <c r="AC162" s="50">
        <f>IFERROR(VLOOKUP(Y162,'[1]back office'!$C$17:$D$19,2,FALSE),"-")</f>
        <v>5</v>
      </c>
      <c r="AD162" s="50">
        <f>IFERROR(VLOOKUP(Z162,'[1]back office'!$E$17:$F$19,2,FALSE),"-")</f>
        <v>20</v>
      </c>
      <c r="AE162" s="50">
        <f>IFERROR(VLOOKUP(AA162,'[1]back office'!$G$17:$H$19,2,FALSE),"-")</f>
        <v>0</v>
      </c>
      <c r="AF162" s="51">
        <f t="shared" si="81"/>
        <v>25</v>
      </c>
      <c r="AG162" s="49" t="s">
        <v>63</v>
      </c>
      <c r="AH162" s="51">
        <f>IFERROR(VLOOKUP(AG162,'[1]back office'!$A$23:$B$25,2,FALSE),"-")</f>
        <v>0</v>
      </c>
      <c r="AI162" s="49">
        <v>50</v>
      </c>
      <c r="AJ162" s="49">
        <v>15</v>
      </c>
      <c r="AK162" s="49">
        <f t="shared" si="82"/>
        <v>50</v>
      </c>
      <c r="AL162" s="49">
        <v>110</v>
      </c>
      <c r="AM162" s="51">
        <f t="shared" si="83"/>
        <v>160</v>
      </c>
      <c r="AN162" s="49" t="s">
        <v>318</v>
      </c>
      <c r="AO162" s="51" t="str">
        <f>IFERROR(VLOOKUP(AN162,'[1]back office'!$A$36:$B$38,2,FALSE),"-")</f>
        <v>-</v>
      </c>
    </row>
    <row r="163" spans="1:41">
      <c r="A163" s="47" t="s">
        <v>322</v>
      </c>
      <c r="B163" s="50" t="str">
        <f>IF(C163="","",IF(C163&gt;=PQCDSM!$G$4,"AA",IF(AND(C163&gt;=PQCDSM!$G$3,C163&lt;PQCDSM!$G$4),"A",IF(AND(C163&gt;=PQCDSM!$G$2,C163&lt;PQCDSM!$G$3),"B","C"))))</f>
        <v>AA</v>
      </c>
      <c r="C163" s="50">
        <f t="shared" si="78"/>
        <v>260</v>
      </c>
      <c r="D163" s="49" t="s">
        <v>50</v>
      </c>
      <c r="E163" s="49" t="s">
        <v>73</v>
      </c>
      <c r="F163" s="49" t="s">
        <v>52</v>
      </c>
      <c r="G163" s="49" t="s">
        <v>53</v>
      </c>
      <c r="H163" s="49" t="s">
        <v>54</v>
      </c>
      <c r="I163" s="49" t="s">
        <v>78</v>
      </c>
      <c r="J163" s="50">
        <f>IFERROR(VLOOKUP(D163,'[1]back office'!$A$4:$B$6,2,FALSE),"-")</f>
        <v>25</v>
      </c>
      <c r="K163" s="50">
        <f>IFERROR(VLOOKUP(E163,'[1]back office'!$C$4:$D$6,2,FALSE),"-")</f>
        <v>0</v>
      </c>
      <c r="L163" s="50">
        <f>IFERROR(VLOOKUP(F163,'[1]back office'!$E$4:$F$6,2,FALSE),"-")</f>
        <v>35</v>
      </c>
      <c r="M163" s="50">
        <f>IFERROR(VLOOKUP(G163,'[1]back office'!$G$4:$H$6,2,FALSE),"-")</f>
        <v>15</v>
      </c>
      <c r="N163" s="50">
        <f>IFERROR(VLOOKUP(H163,'[1]back office'!$I$4:$J$6,2,FALSE),"-")</f>
        <v>0</v>
      </c>
      <c r="O163" s="50" t="str">
        <f>IFERROR(VLOOKUP(I163,'[1]back office'!$K$4:$L$6,2,FALSE),"-")</f>
        <v>-</v>
      </c>
      <c r="P163" s="51">
        <f t="shared" si="79"/>
        <v>75</v>
      </c>
      <c r="Q163" s="49" t="s">
        <v>54</v>
      </c>
      <c r="R163" s="49" t="s">
        <v>57</v>
      </c>
      <c r="S163" s="49" t="s">
        <v>58</v>
      </c>
      <c r="T163" s="50">
        <f>IFERROR(VLOOKUP(Q163,'[1]back office'!$A$11:$B$13,2,FALSE),"-")</f>
        <v>0</v>
      </c>
      <c r="U163" s="50">
        <f>IFERROR(VLOOKUP(R163,'[1]back office'!$C$11:$D$13,2,FALSE),"-")</f>
        <v>0</v>
      </c>
      <c r="V163" s="50" t="str">
        <f>IFERROR(VLOOKUP(S163,'[1]back office'!$E$11:$F$13,2,FALSE),"-")</f>
        <v>-</v>
      </c>
      <c r="W163" s="51">
        <f t="shared" si="80"/>
        <v>0</v>
      </c>
      <c r="X163" s="49" t="s">
        <v>70</v>
      </c>
      <c r="Y163" s="49" t="s">
        <v>84</v>
      </c>
      <c r="Z163" s="49" t="s">
        <v>75</v>
      </c>
      <c r="AA163" s="49" t="s">
        <v>76</v>
      </c>
      <c r="AB163" s="50" t="str">
        <f>IFERROR(VLOOKUP(X163,'[1]back office'!$A$17:$B$19,2,FALSE),"-")</f>
        <v>-</v>
      </c>
      <c r="AC163" s="50">
        <f>IFERROR(VLOOKUP(Y163,'[1]back office'!$C$17:$D$19,2,FALSE),"-")</f>
        <v>5</v>
      </c>
      <c r="AD163" s="50">
        <f>IFERROR(VLOOKUP(Z163,'[1]back office'!$E$17:$F$19,2,FALSE),"-")</f>
        <v>20</v>
      </c>
      <c r="AE163" s="50">
        <f>IFERROR(VLOOKUP(AA163,'[1]back office'!$G$17:$H$19,2,FALSE),"-")</f>
        <v>0</v>
      </c>
      <c r="AF163" s="51">
        <f t="shared" si="81"/>
        <v>25</v>
      </c>
      <c r="AG163" s="49" t="s">
        <v>63</v>
      </c>
      <c r="AH163" s="51">
        <f>IFERROR(VLOOKUP(AG163,'[1]back office'!$A$23:$B$25,2,FALSE),"-")</f>
        <v>0</v>
      </c>
      <c r="AI163" s="49">
        <v>50</v>
      </c>
      <c r="AJ163" s="49">
        <v>15</v>
      </c>
      <c r="AK163" s="49">
        <f t="shared" si="82"/>
        <v>50</v>
      </c>
      <c r="AL163" s="49">
        <v>110</v>
      </c>
      <c r="AM163" s="51">
        <f t="shared" si="83"/>
        <v>160</v>
      </c>
      <c r="AN163" s="49" t="s">
        <v>318</v>
      </c>
      <c r="AO163" s="51" t="str">
        <f>IFERROR(VLOOKUP(AN163,'[1]back office'!$A$36:$B$38,2,FALSE),"-")</f>
        <v>-</v>
      </c>
    </row>
    <row r="164" spans="1:41">
      <c r="A164" s="47" t="s">
        <v>323</v>
      </c>
      <c r="B164" s="50" t="str">
        <f>IF(C164="","",IF(C164&gt;=PQCDSM!$G$4,"AA",IF(AND(C164&gt;=PQCDSM!$G$3,C164&lt;PQCDSM!$G$4),"A",IF(AND(C164&gt;=PQCDSM!$G$2,C164&lt;PQCDSM!$G$3),"B","C"))))</f>
        <v>AA</v>
      </c>
      <c r="C164" s="50">
        <f t="shared" si="78"/>
        <v>260</v>
      </c>
      <c r="D164" s="49" t="s">
        <v>50</v>
      </c>
      <c r="E164" s="49" t="s">
        <v>73</v>
      </c>
      <c r="F164" s="49" t="s">
        <v>52</v>
      </c>
      <c r="G164" s="49" t="s">
        <v>53</v>
      </c>
      <c r="H164" s="49" t="s">
        <v>54</v>
      </c>
      <c r="I164" s="49" t="s">
        <v>78</v>
      </c>
      <c r="J164" s="50">
        <f>IFERROR(VLOOKUP(D164,'[1]back office'!$A$4:$B$6,2,FALSE),"-")</f>
        <v>25</v>
      </c>
      <c r="K164" s="50">
        <f>IFERROR(VLOOKUP(E164,'[1]back office'!$C$4:$D$6,2,FALSE),"-")</f>
        <v>0</v>
      </c>
      <c r="L164" s="50">
        <f>IFERROR(VLOOKUP(F164,'[1]back office'!$E$4:$F$6,2,FALSE),"-")</f>
        <v>35</v>
      </c>
      <c r="M164" s="50">
        <f>IFERROR(VLOOKUP(G164,'[1]back office'!$G$4:$H$6,2,FALSE),"-")</f>
        <v>15</v>
      </c>
      <c r="N164" s="50">
        <f>IFERROR(VLOOKUP(H164,'[1]back office'!$I$4:$J$6,2,FALSE),"-")</f>
        <v>0</v>
      </c>
      <c r="O164" s="50" t="str">
        <f>IFERROR(VLOOKUP(I164,'[1]back office'!$K$4:$L$6,2,FALSE),"-")</f>
        <v>-</v>
      </c>
      <c r="P164" s="51">
        <f t="shared" si="79"/>
        <v>75</v>
      </c>
      <c r="Q164" s="49" t="s">
        <v>54</v>
      </c>
      <c r="R164" s="49" t="s">
        <v>57</v>
      </c>
      <c r="S164" s="49" t="s">
        <v>58</v>
      </c>
      <c r="T164" s="50">
        <f>IFERROR(VLOOKUP(Q164,'[1]back office'!$A$11:$B$13,2,FALSE),"-")</f>
        <v>0</v>
      </c>
      <c r="U164" s="50">
        <f>IFERROR(VLOOKUP(R164,'[1]back office'!$C$11:$D$13,2,FALSE),"-")</f>
        <v>0</v>
      </c>
      <c r="V164" s="50" t="str">
        <f>IFERROR(VLOOKUP(S164,'[1]back office'!$E$11:$F$13,2,FALSE),"-")</f>
        <v>-</v>
      </c>
      <c r="W164" s="51">
        <f t="shared" si="80"/>
        <v>0</v>
      </c>
      <c r="X164" s="49" t="s">
        <v>70</v>
      </c>
      <c r="Y164" s="49" t="s">
        <v>84</v>
      </c>
      <c r="Z164" s="49" t="s">
        <v>75</v>
      </c>
      <c r="AA164" s="49" t="s">
        <v>76</v>
      </c>
      <c r="AB164" s="50" t="str">
        <f>IFERROR(VLOOKUP(X164,'[1]back office'!$A$17:$B$19,2,FALSE),"-")</f>
        <v>-</v>
      </c>
      <c r="AC164" s="50">
        <f>IFERROR(VLOOKUP(Y164,'[1]back office'!$C$17:$D$19,2,FALSE),"-")</f>
        <v>5</v>
      </c>
      <c r="AD164" s="50">
        <f>IFERROR(VLOOKUP(Z164,'[1]back office'!$E$17:$F$19,2,FALSE),"-")</f>
        <v>20</v>
      </c>
      <c r="AE164" s="50">
        <f>IFERROR(VLOOKUP(AA164,'[1]back office'!$G$17:$H$19,2,FALSE),"-")</f>
        <v>0</v>
      </c>
      <c r="AF164" s="51">
        <f t="shared" si="81"/>
        <v>25</v>
      </c>
      <c r="AG164" s="49" t="s">
        <v>63</v>
      </c>
      <c r="AH164" s="51">
        <f>IFERROR(VLOOKUP(AG164,'[1]back office'!$A$23:$B$25,2,FALSE),"-")</f>
        <v>0</v>
      </c>
      <c r="AI164" s="49">
        <v>50</v>
      </c>
      <c r="AJ164" s="49">
        <v>15</v>
      </c>
      <c r="AK164" s="49">
        <f t="shared" si="82"/>
        <v>50</v>
      </c>
      <c r="AL164" s="49">
        <v>110</v>
      </c>
      <c r="AM164" s="51">
        <f t="shared" si="83"/>
        <v>160</v>
      </c>
      <c r="AN164" s="49" t="s">
        <v>318</v>
      </c>
      <c r="AO164" s="51" t="str">
        <f>IFERROR(VLOOKUP(AN164,'[1]back office'!$A$36:$B$38,2,FALSE),"-")</f>
        <v>-</v>
      </c>
    </row>
    <row r="165" spans="1:41">
      <c r="A165" s="47" t="s">
        <v>324</v>
      </c>
      <c r="B165" s="50" t="str">
        <f>IF(C165="","",IF(C165&gt;=PQCDSM!$G$4,"AA",IF(AND(C165&gt;=PQCDSM!$G$3,C165&lt;PQCDSM!$G$4),"A",IF(AND(C165&gt;=PQCDSM!$G$2,C165&lt;PQCDSM!$G$3),"B","C"))))</f>
        <v>AA</v>
      </c>
      <c r="C165" s="50">
        <f t="shared" si="78"/>
        <v>260</v>
      </c>
      <c r="D165" s="49" t="s">
        <v>50</v>
      </c>
      <c r="E165" s="49" t="s">
        <v>73</v>
      </c>
      <c r="F165" s="49" t="s">
        <v>52</v>
      </c>
      <c r="G165" s="49" t="s">
        <v>53</v>
      </c>
      <c r="H165" s="49" t="s">
        <v>54</v>
      </c>
      <c r="I165" s="49" t="s">
        <v>78</v>
      </c>
      <c r="J165" s="50">
        <f>IFERROR(VLOOKUP(D165,'[1]back office'!$A$4:$B$6,2,FALSE),"-")</f>
        <v>25</v>
      </c>
      <c r="K165" s="50">
        <f>IFERROR(VLOOKUP(E165,'[1]back office'!$C$4:$D$6,2,FALSE),"-")</f>
        <v>0</v>
      </c>
      <c r="L165" s="50">
        <f>IFERROR(VLOOKUP(F165,'[1]back office'!$E$4:$F$6,2,FALSE),"-")</f>
        <v>35</v>
      </c>
      <c r="M165" s="50">
        <f>IFERROR(VLOOKUP(G165,'[1]back office'!$G$4:$H$6,2,FALSE),"-")</f>
        <v>15</v>
      </c>
      <c r="N165" s="50">
        <f>IFERROR(VLOOKUP(H165,'[1]back office'!$I$4:$J$6,2,FALSE),"-")</f>
        <v>0</v>
      </c>
      <c r="O165" s="50" t="str">
        <f>IFERROR(VLOOKUP(I165,'[1]back office'!$K$4:$L$6,2,FALSE),"-")</f>
        <v>-</v>
      </c>
      <c r="P165" s="51">
        <f t="shared" si="79"/>
        <v>75</v>
      </c>
      <c r="Q165" s="49" t="s">
        <v>54</v>
      </c>
      <c r="R165" s="49" t="s">
        <v>57</v>
      </c>
      <c r="S165" s="49" t="s">
        <v>58</v>
      </c>
      <c r="T165" s="50">
        <f>IFERROR(VLOOKUP(Q165,'[1]back office'!$A$11:$B$13,2,FALSE),"-")</f>
        <v>0</v>
      </c>
      <c r="U165" s="50">
        <f>IFERROR(VLOOKUP(R165,'[1]back office'!$C$11:$D$13,2,FALSE),"-")</f>
        <v>0</v>
      </c>
      <c r="V165" s="50" t="str">
        <f>IFERROR(VLOOKUP(S165,'[1]back office'!$E$11:$F$13,2,FALSE),"-")</f>
        <v>-</v>
      </c>
      <c r="W165" s="51">
        <f t="shared" si="80"/>
        <v>0</v>
      </c>
      <c r="X165" s="49" t="s">
        <v>70</v>
      </c>
      <c r="Y165" s="49" t="s">
        <v>84</v>
      </c>
      <c r="Z165" s="49" t="s">
        <v>75</v>
      </c>
      <c r="AA165" s="49" t="s">
        <v>76</v>
      </c>
      <c r="AB165" s="50" t="str">
        <f>IFERROR(VLOOKUP(X165,'[1]back office'!$A$17:$B$19,2,FALSE),"-")</f>
        <v>-</v>
      </c>
      <c r="AC165" s="50">
        <f>IFERROR(VLOOKUP(Y165,'[1]back office'!$C$17:$D$19,2,FALSE),"-")</f>
        <v>5</v>
      </c>
      <c r="AD165" s="50">
        <f>IFERROR(VLOOKUP(Z165,'[1]back office'!$E$17:$F$19,2,FALSE),"-")</f>
        <v>20</v>
      </c>
      <c r="AE165" s="50">
        <f>IFERROR(VLOOKUP(AA165,'[1]back office'!$G$17:$H$19,2,FALSE),"-")</f>
        <v>0</v>
      </c>
      <c r="AF165" s="51">
        <f t="shared" si="81"/>
        <v>25</v>
      </c>
      <c r="AG165" s="49" t="s">
        <v>63</v>
      </c>
      <c r="AH165" s="51">
        <f>IFERROR(VLOOKUP(AG165,'[1]back office'!$A$23:$B$25,2,FALSE),"-")</f>
        <v>0</v>
      </c>
      <c r="AI165" s="49">
        <v>50</v>
      </c>
      <c r="AJ165" s="49">
        <v>15</v>
      </c>
      <c r="AK165" s="49">
        <f t="shared" si="82"/>
        <v>50</v>
      </c>
      <c r="AL165" s="49">
        <v>110</v>
      </c>
      <c r="AM165" s="51">
        <f t="shared" si="83"/>
        <v>160</v>
      </c>
      <c r="AN165" s="49" t="s">
        <v>318</v>
      </c>
      <c r="AO165" s="51" t="str">
        <f>IFERROR(VLOOKUP(AN165,'[1]back office'!$A$36:$B$38,2,FALSE),"-")</f>
        <v>-</v>
      </c>
    </row>
    <row r="166" spans="1:41">
      <c r="A166" s="47" t="s">
        <v>325</v>
      </c>
      <c r="B166" s="50" t="str">
        <f>IF(C166="","",IF(C166&gt;=PQCDSM!$G$4,"AA",IF(AND(C166&gt;=PQCDSM!$G$3,C166&lt;PQCDSM!$G$4),"A",IF(AND(C166&gt;=PQCDSM!$G$2,C166&lt;PQCDSM!$G$3),"B","C"))))</f>
        <v>A</v>
      </c>
      <c r="C166" s="50">
        <f t="shared" si="78"/>
        <v>240</v>
      </c>
      <c r="D166" s="49" t="s">
        <v>50</v>
      </c>
      <c r="E166" s="49" t="s">
        <v>92</v>
      </c>
      <c r="F166" s="49" t="s">
        <v>313</v>
      </c>
      <c r="G166" s="49" t="s">
        <v>53</v>
      </c>
      <c r="H166" s="49" t="s">
        <v>54</v>
      </c>
      <c r="I166" s="49" t="s">
        <v>78</v>
      </c>
      <c r="J166" s="50">
        <f>IFERROR(VLOOKUP(D166,'[1]back office'!$A$4:$B$6,2,FALSE),"-")</f>
        <v>25</v>
      </c>
      <c r="K166" s="50">
        <f>IFERROR(VLOOKUP(E166,'[1]back office'!$C$4:$D$6,2,FALSE),"-")</f>
        <v>15</v>
      </c>
      <c r="L166" s="50">
        <f>IFERROR(VLOOKUP(F166,'[1]back office'!$E$4:$F$6,2,FALSE),"-")</f>
        <v>0</v>
      </c>
      <c r="M166" s="50">
        <f>IFERROR(VLOOKUP(G166,'[1]back office'!$G$4:$H$6,2,FALSE),"-")</f>
        <v>15</v>
      </c>
      <c r="N166" s="50">
        <f>IFERROR(VLOOKUP(H166,'[1]back office'!$I$4:$J$6,2,FALSE),"-")</f>
        <v>0</v>
      </c>
      <c r="O166" s="50" t="str">
        <f>IFERROR(VLOOKUP(I166,'[1]back office'!$K$4:$L$6,2,FALSE),"-")</f>
        <v>-</v>
      </c>
      <c r="P166" s="51">
        <f t="shared" si="79"/>
        <v>55</v>
      </c>
      <c r="Q166" s="49" t="s">
        <v>54</v>
      </c>
      <c r="R166" s="49" t="s">
        <v>57</v>
      </c>
      <c r="S166" s="49" t="s">
        <v>58</v>
      </c>
      <c r="T166" s="50">
        <f>IFERROR(VLOOKUP(Q166,'[1]back office'!$A$11:$B$13,2,FALSE),"-")</f>
        <v>0</v>
      </c>
      <c r="U166" s="50">
        <f>IFERROR(VLOOKUP(R166,'[1]back office'!$C$11:$D$13,2,FALSE),"-")</f>
        <v>0</v>
      </c>
      <c r="V166" s="50" t="str">
        <f>IFERROR(VLOOKUP(S166,'[1]back office'!$E$11:$F$13,2,FALSE),"-")</f>
        <v>-</v>
      </c>
      <c r="W166" s="51">
        <f t="shared" si="80"/>
        <v>0</v>
      </c>
      <c r="X166" s="49" t="s">
        <v>70</v>
      </c>
      <c r="Y166" s="49" t="s">
        <v>84</v>
      </c>
      <c r="Z166" s="49" t="s">
        <v>75</v>
      </c>
      <c r="AA166" s="49" t="s">
        <v>76</v>
      </c>
      <c r="AB166" s="50" t="str">
        <f>IFERROR(VLOOKUP(X166,'[1]back office'!$A$17:$B$19,2,FALSE),"-")</f>
        <v>-</v>
      </c>
      <c r="AC166" s="50">
        <f>IFERROR(VLOOKUP(Y166,'[1]back office'!$C$17:$D$19,2,FALSE),"-")</f>
        <v>5</v>
      </c>
      <c r="AD166" s="50">
        <f>IFERROR(VLOOKUP(Z166,'[1]back office'!$E$17:$F$19,2,FALSE),"-")</f>
        <v>20</v>
      </c>
      <c r="AE166" s="50">
        <f>IFERROR(VLOOKUP(AA166,'[1]back office'!$G$17:$H$19,2,FALSE),"-")</f>
        <v>0</v>
      </c>
      <c r="AF166" s="51">
        <f t="shared" si="81"/>
        <v>25</v>
      </c>
      <c r="AG166" s="49" t="s">
        <v>63</v>
      </c>
      <c r="AH166" s="51">
        <f>IFERROR(VLOOKUP(AG166,'[1]back office'!$A$23:$B$25,2,FALSE),"-")</f>
        <v>0</v>
      </c>
      <c r="AI166" s="49">
        <v>50</v>
      </c>
      <c r="AJ166" s="49">
        <v>15</v>
      </c>
      <c r="AK166" s="49">
        <f t="shared" si="82"/>
        <v>50</v>
      </c>
      <c r="AL166" s="49">
        <v>110</v>
      </c>
      <c r="AM166" s="51">
        <f t="shared" si="83"/>
        <v>160</v>
      </c>
      <c r="AN166" s="49" t="s">
        <v>318</v>
      </c>
      <c r="AO166" s="51" t="str">
        <f>IFERROR(VLOOKUP(AN166,'[1]back office'!$A$36:$B$38,2,FALSE),"-")</f>
        <v>-</v>
      </c>
    </row>
    <row r="167" spans="1:41">
      <c r="A167" s="47" t="s">
        <v>326</v>
      </c>
      <c r="B167" s="50" t="str">
        <f>IF(C167="","",IF(C167&gt;=PQCDSM!$G$4,"AA",IF(AND(C167&gt;=PQCDSM!$G$3,C167&lt;PQCDSM!$G$4),"A",IF(AND(C167&gt;=PQCDSM!$G$2,C167&lt;PQCDSM!$G$3),"B","C"))))</f>
        <v>A</v>
      </c>
      <c r="C167" s="50">
        <f t="shared" si="78"/>
        <v>240</v>
      </c>
      <c r="D167" s="49" t="s">
        <v>50</v>
      </c>
      <c r="E167" s="49" t="s">
        <v>92</v>
      </c>
      <c r="F167" s="49" t="s">
        <v>313</v>
      </c>
      <c r="G167" s="49" t="s">
        <v>53</v>
      </c>
      <c r="H167" s="49" t="s">
        <v>54</v>
      </c>
      <c r="I167" s="49" t="s">
        <v>78</v>
      </c>
      <c r="J167" s="50">
        <f>IFERROR(VLOOKUP(D167,'[1]back office'!$A$4:$B$6,2,FALSE),"-")</f>
        <v>25</v>
      </c>
      <c r="K167" s="50">
        <f>IFERROR(VLOOKUP(E167,'[1]back office'!$C$4:$D$6,2,FALSE),"-")</f>
        <v>15</v>
      </c>
      <c r="L167" s="50">
        <f>IFERROR(VLOOKUP(F167,'[1]back office'!$E$4:$F$6,2,FALSE),"-")</f>
        <v>0</v>
      </c>
      <c r="M167" s="50">
        <f>IFERROR(VLOOKUP(G167,'[1]back office'!$G$4:$H$6,2,FALSE),"-")</f>
        <v>15</v>
      </c>
      <c r="N167" s="50">
        <f>IFERROR(VLOOKUP(H167,'[1]back office'!$I$4:$J$6,2,FALSE),"-")</f>
        <v>0</v>
      </c>
      <c r="O167" s="50" t="str">
        <f>IFERROR(VLOOKUP(I167,'[1]back office'!$K$4:$L$6,2,FALSE),"-")</f>
        <v>-</v>
      </c>
      <c r="P167" s="51">
        <f t="shared" si="79"/>
        <v>55</v>
      </c>
      <c r="Q167" s="49" t="s">
        <v>54</v>
      </c>
      <c r="R167" s="49" t="s">
        <v>57</v>
      </c>
      <c r="S167" s="49" t="s">
        <v>58</v>
      </c>
      <c r="T167" s="50">
        <f>IFERROR(VLOOKUP(Q167,'[1]back office'!$A$11:$B$13,2,FALSE),"-")</f>
        <v>0</v>
      </c>
      <c r="U167" s="50">
        <f>IFERROR(VLOOKUP(R167,'[1]back office'!$C$11:$D$13,2,FALSE),"-")</f>
        <v>0</v>
      </c>
      <c r="V167" s="50" t="str">
        <f>IFERROR(VLOOKUP(S167,'[1]back office'!$E$11:$F$13,2,FALSE),"-")</f>
        <v>-</v>
      </c>
      <c r="W167" s="51">
        <f t="shared" si="80"/>
        <v>0</v>
      </c>
      <c r="X167" s="49" t="s">
        <v>70</v>
      </c>
      <c r="Y167" s="49" t="s">
        <v>84</v>
      </c>
      <c r="Z167" s="49" t="s">
        <v>75</v>
      </c>
      <c r="AA167" s="49" t="s">
        <v>76</v>
      </c>
      <c r="AB167" s="50" t="str">
        <f>IFERROR(VLOOKUP(X167,'[1]back office'!$A$17:$B$19,2,FALSE),"-")</f>
        <v>-</v>
      </c>
      <c r="AC167" s="50">
        <f>IFERROR(VLOOKUP(Y167,'[1]back office'!$C$17:$D$19,2,FALSE),"-")</f>
        <v>5</v>
      </c>
      <c r="AD167" s="50">
        <f>IFERROR(VLOOKUP(Z167,'[1]back office'!$E$17:$F$19,2,FALSE),"-")</f>
        <v>20</v>
      </c>
      <c r="AE167" s="50">
        <f>IFERROR(VLOOKUP(AA167,'[1]back office'!$G$17:$H$19,2,FALSE),"-")</f>
        <v>0</v>
      </c>
      <c r="AF167" s="51">
        <f t="shared" si="81"/>
        <v>25</v>
      </c>
      <c r="AG167" s="49" t="s">
        <v>63</v>
      </c>
      <c r="AH167" s="51">
        <f>IFERROR(VLOOKUP(AG167,'[1]back office'!$A$23:$B$25,2,FALSE),"-")</f>
        <v>0</v>
      </c>
      <c r="AI167" s="49">
        <v>50</v>
      </c>
      <c r="AJ167" s="49">
        <v>15</v>
      </c>
      <c r="AK167" s="49">
        <f t="shared" si="82"/>
        <v>50</v>
      </c>
      <c r="AL167" s="49">
        <v>110</v>
      </c>
      <c r="AM167" s="51">
        <f t="shared" si="83"/>
        <v>160</v>
      </c>
      <c r="AN167" s="49" t="s">
        <v>318</v>
      </c>
      <c r="AO167" s="51" t="str">
        <f>IFERROR(VLOOKUP(AN167,'[1]back office'!$A$36:$B$38,2,FALSE),"-")</f>
        <v>-</v>
      </c>
    </row>
    <row r="168" spans="1:41">
      <c r="A168" s="47" t="s">
        <v>327</v>
      </c>
      <c r="B168" s="50" t="str">
        <f>IF(C168="","",IF(C168&gt;=PQCDSM!$G$4,"AA",IF(AND(C168&gt;=PQCDSM!$G$3,C168&lt;PQCDSM!$G$4),"A",IF(AND(C168&gt;=PQCDSM!$G$2,C168&lt;PQCDSM!$G$3),"B","C"))))</f>
        <v>A</v>
      </c>
      <c r="C168" s="50">
        <f t="shared" si="78"/>
        <v>240</v>
      </c>
      <c r="D168" s="49" t="s">
        <v>50</v>
      </c>
      <c r="E168" s="49" t="s">
        <v>92</v>
      </c>
      <c r="F168" s="49" t="s">
        <v>313</v>
      </c>
      <c r="G168" s="49" t="s">
        <v>53</v>
      </c>
      <c r="H168" s="49" t="s">
        <v>54</v>
      </c>
      <c r="I168" s="49" t="s">
        <v>78</v>
      </c>
      <c r="J168" s="50">
        <f>IFERROR(VLOOKUP(D168,'[1]back office'!$A$4:$B$6,2,FALSE),"-")</f>
        <v>25</v>
      </c>
      <c r="K168" s="50">
        <f>IFERROR(VLOOKUP(E168,'[1]back office'!$C$4:$D$6,2,FALSE),"-")</f>
        <v>15</v>
      </c>
      <c r="L168" s="50">
        <f>IFERROR(VLOOKUP(F168,'[1]back office'!$E$4:$F$6,2,FALSE),"-")</f>
        <v>0</v>
      </c>
      <c r="M168" s="50">
        <f>IFERROR(VLOOKUP(G168,'[1]back office'!$G$4:$H$6,2,FALSE),"-")</f>
        <v>15</v>
      </c>
      <c r="N168" s="50">
        <f>IFERROR(VLOOKUP(H168,'[1]back office'!$I$4:$J$6,2,FALSE),"-")</f>
        <v>0</v>
      </c>
      <c r="O168" s="50" t="str">
        <f>IFERROR(VLOOKUP(I168,'[1]back office'!$K$4:$L$6,2,FALSE),"-")</f>
        <v>-</v>
      </c>
      <c r="P168" s="51">
        <f t="shared" si="79"/>
        <v>55</v>
      </c>
      <c r="Q168" s="49" t="s">
        <v>54</v>
      </c>
      <c r="R168" s="49" t="s">
        <v>57</v>
      </c>
      <c r="S168" s="49" t="s">
        <v>58</v>
      </c>
      <c r="T168" s="50">
        <f>IFERROR(VLOOKUP(Q168,'[1]back office'!$A$11:$B$13,2,FALSE),"-")</f>
        <v>0</v>
      </c>
      <c r="U168" s="50">
        <f>IFERROR(VLOOKUP(R168,'[1]back office'!$C$11:$D$13,2,FALSE),"-")</f>
        <v>0</v>
      </c>
      <c r="V168" s="50" t="str">
        <f>IFERROR(VLOOKUP(S168,'[1]back office'!$E$11:$F$13,2,FALSE),"-")</f>
        <v>-</v>
      </c>
      <c r="W168" s="51">
        <f t="shared" si="80"/>
        <v>0</v>
      </c>
      <c r="X168" s="49" t="s">
        <v>70</v>
      </c>
      <c r="Y168" s="49" t="s">
        <v>84</v>
      </c>
      <c r="Z168" s="49" t="s">
        <v>75</v>
      </c>
      <c r="AA168" s="49" t="s">
        <v>76</v>
      </c>
      <c r="AB168" s="50" t="str">
        <f>IFERROR(VLOOKUP(X168,'[1]back office'!$A$17:$B$19,2,FALSE),"-")</f>
        <v>-</v>
      </c>
      <c r="AC168" s="50">
        <f>IFERROR(VLOOKUP(Y168,'[1]back office'!$C$17:$D$19,2,FALSE),"-")</f>
        <v>5</v>
      </c>
      <c r="AD168" s="50">
        <f>IFERROR(VLOOKUP(Z168,'[1]back office'!$E$17:$F$19,2,FALSE),"-")</f>
        <v>20</v>
      </c>
      <c r="AE168" s="50">
        <f>IFERROR(VLOOKUP(AA168,'[1]back office'!$G$17:$H$19,2,FALSE),"-")</f>
        <v>0</v>
      </c>
      <c r="AF168" s="51">
        <f t="shared" si="81"/>
        <v>25</v>
      </c>
      <c r="AG168" s="49" t="s">
        <v>63</v>
      </c>
      <c r="AH168" s="51">
        <f>IFERROR(VLOOKUP(AG168,'[1]back office'!$A$23:$B$25,2,FALSE),"-")</f>
        <v>0</v>
      </c>
      <c r="AI168" s="49">
        <v>50</v>
      </c>
      <c r="AJ168" s="49">
        <v>15</v>
      </c>
      <c r="AK168" s="49">
        <f t="shared" si="82"/>
        <v>50</v>
      </c>
      <c r="AL168" s="49">
        <v>110</v>
      </c>
      <c r="AM168" s="51">
        <f t="shared" si="83"/>
        <v>160</v>
      </c>
      <c r="AN168" s="49" t="s">
        <v>318</v>
      </c>
      <c r="AO168" s="51" t="str">
        <f>IFERROR(VLOOKUP(AN168,'[1]back office'!$A$36:$B$38,2,FALSE),"-")</f>
        <v>-</v>
      </c>
    </row>
    <row r="169" spans="1:41">
      <c r="A169" s="47" t="s">
        <v>328</v>
      </c>
      <c r="B169" s="50" t="str">
        <f>IF(C169="","",IF(C169&gt;=PQCDSM!$G$4,"AA",IF(AND(C169&gt;=PQCDSM!$G$3,C169&lt;PQCDSM!$G$4),"A",IF(AND(C169&gt;=PQCDSM!$G$2,C169&lt;PQCDSM!$G$3),"B","C"))))</f>
        <v>A</v>
      </c>
      <c r="C169" s="50">
        <f t="shared" si="78"/>
        <v>240</v>
      </c>
      <c r="D169" s="49" t="s">
        <v>50</v>
      </c>
      <c r="E169" s="49" t="s">
        <v>92</v>
      </c>
      <c r="F169" s="49" t="s">
        <v>313</v>
      </c>
      <c r="G169" s="49" t="s">
        <v>53</v>
      </c>
      <c r="H169" s="49" t="s">
        <v>54</v>
      </c>
      <c r="I169" s="49" t="s">
        <v>78</v>
      </c>
      <c r="J169" s="50">
        <f>IFERROR(VLOOKUP(D169,'[1]back office'!$A$4:$B$6,2,FALSE),"-")</f>
        <v>25</v>
      </c>
      <c r="K169" s="50">
        <f>IFERROR(VLOOKUP(E169,'[1]back office'!$C$4:$D$6,2,FALSE),"-")</f>
        <v>15</v>
      </c>
      <c r="L169" s="50">
        <f>IFERROR(VLOOKUP(F169,'[1]back office'!$E$4:$F$6,2,FALSE),"-")</f>
        <v>0</v>
      </c>
      <c r="M169" s="50">
        <f>IFERROR(VLOOKUP(G169,'[1]back office'!$G$4:$H$6,2,FALSE),"-")</f>
        <v>15</v>
      </c>
      <c r="N169" s="50">
        <f>IFERROR(VLOOKUP(H169,'[1]back office'!$I$4:$J$6,2,FALSE),"-")</f>
        <v>0</v>
      </c>
      <c r="O169" s="50" t="str">
        <f>IFERROR(VLOOKUP(I169,'[1]back office'!$K$4:$L$6,2,FALSE),"-")</f>
        <v>-</v>
      </c>
      <c r="P169" s="51">
        <f t="shared" si="79"/>
        <v>55</v>
      </c>
      <c r="Q169" s="49" t="s">
        <v>54</v>
      </c>
      <c r="R169" s="49" t="s">
        <v>57</v>
      </c>
      <c r="S169" s="49" t="s">
        <v>58</v>
      </c>
      <c r="T169" s="50">
        <f>IFERROR(VLOOKUP(Q169,'[1]back office'!$A$11:$B$13,2,FALSE),"-")</f>
        <v>0</v>
      </c>
      <c r="U169" s="50">
        <f>IFERROR(VLOOKUP(R169,'[1]back office'!$C$11:$D$13,2,FALSE),"-")</f>
        <v>0</v>
      </c>
      <c r="V169" s="50" t="str">
        <f>IFERROR(VLOOKUP(S169,'[1]back office'!$E$11:$F$13,2,FALSE),"-")</f>
        <v>-</v>
      </c>
      <c r="W169" s="51">
        <f t="shared" si="80"/>
        <v>0</v>
      </c>
      <c r="X169" s="49" t="s">
        <v>70</v>
      </c>
      <c r="Y169" s="49" t="s">
        <v>84</v>
      </c>
      <c r="Z169" s="49" t="s">
        <v>75</v>
      </c>
      <c r="AA169" s="49" t="s">
        <v>76</v>
      </c>
      <c r="AB169" s="50" t="str">
        <f>IFERROR(VLOOKUP(X169,'[1]back office'!$A$17:$B$19,2,FALSE),"-")</f>
        <v>-</v>
      </c>
      <c r="AC169" s="50">
        <f>IFERROR(VLOOKUP(Y169,'[1]back office'!$C$17:$D$19,2,FALSE),"-")</f>
        <v>5</v>
      </c>
      <c r="AD169" s="50">
        <f>IFERROR(VLOOKUP(Z169,'[1]back office'!$E$17:$F$19,2,FALSE),"-")</f>
        <v>20</v>
      </c>
      <c r="AE169" s="50">
        <f>IFERROR(VLOOKUP(AA169,'[1]back office'!$G$17:$H$19,2,FALSE),"-")</f>
        <v>0</v>
      </c>
      <c r="AF169" s="51">
        <f t="shared" si="81"/>
        <v>25</v>
      </c>
      <c r="AG169" s="49" t="s">
        <v>63</v>
      </c>
      <c r="AH169" s="51">
        <f>IFERROR(VLOOKUP(AG169,'[1]back office'!$A$23:$B$25,2,FALSE),"-")</f>
        <v>0</v>
      </c>
      <c r="AI169" s="49">
        <v>50</v>
      </c>
      <c r="AJ169" s="49">
        <v>15</v>
      </c>
      <c r="AK169" s="49">
        <f t="shared" si="82"/>
        <v>50</v>
      </c>
      <c r="AL169" s="49">
        <v>110</v>
      </c>
      <c r="AM169" s="51">
        <f t="shared" si="83"/>
        <v>160</v>
      </c>
      <c r="AN169" s="49" t="s">
        <v>318</v>
      </c>
      <c r="AO169" s="51" t="str">
        <f>IFERROR(VLOOKUP(AN169,'[1]back office'!$A$36:$B$38,2,FALSE),"-")</f>
        <v>-</v>
      </c>
    </row>
    <row r="170" spans="1:41">
      <c r="A170" s="47" t="s">
        <v>329</v>
      </c>
      <c r="B170" s="50" t="str">
        <f>IF(C170="","",IF(C170&gt;=PQCDSM!$G$4,"AA",IF(AND(C170&gt;=PQCDSM!$G$3,C170&lt;PQCDSM!$G$4),"A",IF(AND(C170&gt;=PQCDSM!$G$2,C170&lt;PQCDSM!$G$3),"B","C"))))</f>
        <v>A</v>
      </c>
      <c r="C170" s="50">
        <f t="shared" si="78"/>
        <v>240</v>
      </c>
      <c r="D170" s="49" t="s">
        <v>50</v>
      </c>
      <c r="E170" s="49" t="s">
        <v>92</v>
      </c>
      <c r="F170" s="49" t="s">
        <v>313</v>
      </c>
      <c r="G170" s="49" t="s">
        <v>53</v>
      </c>
      <c r="H170" s="49" t="s">
        <v>54</v>
      </c>
      <c r="I170" s="49" t="s">
        <v>78</v>
      </c>
      <c r="J170" s="50">
        <f>IFERROR(VLOOKUP(D170,'[1]back office'!$A$4:$B$6,2,FALSE),"-")</f>
        <v>25</v>
      </c>
      <c r="K170" s="50">
        <f>IFERROR(VLOOKUP(E170,'[1]back office'!$C$4:$D$6,2,FALSE),"-")</f>
        <v>15</v>
      </c>
      <c r="L170" s="50">
        <f>IFERROR(VLOOKUP(F170,'[1]back office'!$E$4:$F$6,2,FALSE),"-")</f>
        <v>0</v>
      </c>
      <c r="M170" s="50">
        <f>IFERROR(VLOOKUP(G170,'[1]back office'!$G$4:$H$6,2,FALSE),"-")</f>
        <v>15</v>
      </c>
      <c r="N170" s="50">
        <f>IFERROR(VLOOKUP(H170,'[1]back office'!$I$4:$J$6,2,FALSE),"-")</f>
        <v>0</v>
      </c>
      <c r="O170" s="50" t="str">
        <f>IFERROR(VLOOKUP(I170,'[1]back office'!$K$4:$L$6,2,FALSE),"-")</f>
        <v>-</v>
      </c>
      <c r="P170" s="51">
        <f t="shared" si="79"/>
        <v>55</v>
      </c>
      <c r="Q170" s="49" t="s">
        <v>54</v>
      </c>
      <c r="R170" s="49" t="s">
        <v>57</v>
      </c>
      <c r="S170" s="49" t="s">
        <v>58</v>
      </c>
      <c r="T170" s="50">
        <f>IFERROR(VLOOKUP(Q170,'[1]back office'!$A$11:$B$13,2,FALSE),"-")</f>
        <v>0</v>
      </c>
      <c r="U170" s="50">
        <f>IFERROR(VLOOKUP(R170,'[1]back office'!$C$11:$D$13,2,FALSE),"-")</f>
        <v>0</v>
      </c>
      <c r="V170" s="50" t="str">
        <f>IFERROR(VLOOKUP(S170,'[1]back office'!$E$11:$F$13,2,FALSE),"-")</f>
        <v>-</v>
      </c>
      <c r="W170" s="51">
        <f t="shared" si="80"/>
        <v>0</v>
      </c>
      <c r="X170" s="49" t="s">
        <v>70</v>
      </c>
      <c r="Y170" s="49" t="s">
        <v>84</v>
      </c>
      <c r="Z170" s="49" t="s">
        <v>75</v>
      </c>
      <c r="AA170" s="49" t="s">
        <v>76</v>
      </c>
      <c r="AB170" s="50" t="str">
        <f>IFERROR(VLOOKUP(X170,'[1]back office'!$A$17:$B$19,2,FALSE),"-")</f>
        <v>-</v>
      </c>
      <c r="AC170" s="50">
        <f>IFERROR(VLOOKUP(Y170,'[1]back office'!$C$17:$D$19,2,FALSE),"-")</f>
        <v>5</v>
      </c>
      <c r="AD170" s="50">
        <f>IFERROR(VLOOKUP(Z170,'[1]back office'!$E$17:$F$19,2,FALSE),"-")</f>
        <v>20</v>
      </c>
      <c r="AE170" s="50">
        <f>IFERROR(VLOOKUP(AA170,'[1]back office'!$G$17:$H$19,2,FALSE),"-")</f>
        <v>0</v>
      </c>
      <c r="AF170" s="51">
        <f t="shared" si="81"/>
        <v>25</v>
      </c>
      <c r="AG170" s="49" t="s">
        <v>63</v>
      </c>
      <c r="AH170" s="51">
        <f>IFERROR(VLOOKUP(AG170,'[1]back office'!$A$23:$B$25,2,FALSE),"-")</f>
        <v>0</v>
      </c>
      <c r="AI170" s="49">
        <v>50</v>
      </c>
      <c r="AJ170" s="49">
        <v>15</v>
      </c>
      <c r="AK170" s="49">
        <f t="shared" si="82"/>
        <v>50</v>
      </c>
      <c r="AL170" s="49">
        <v>110</v>
      </c>
      <c r="AM170" s="51">
        <f t="shared" si="83"/>
        <v>160</v>
      </c>
      <c r="AN170" s="49" t="s">
        <v>318</v>
      </c>
      <c r="AO170" s="51" t="str">
        <f>IFERROR(VLOOKUP(AN170,'[1]back office'!$A$36:$B$38,2,FALSE),"-")</f>
        <v>-</v>
      </c>
    </row>
    <row r="171" spans="1:41">
      <c r="A171" s="47" t="s">
        <v>330</v>
      </c>
      <c r="B171" s="50" t="str">
        <f>IF(C171="","",IF(C171&gt;=PQCDSM!$G$4,"AA",IF(AND(C171&gt;=PQCDSM!$G$3,C171&lt;PQCDSM!$G$4),"A",IF(AND(C171&gt;=PQCDSM!$G$2,C171&lt;PQCDSM!$G$3),"B","C"))))</f>
        <v>A</v>
      </c>
      <c r="C171" s="50">
        <f t="shared" si="78"/>
        <v>245</v>
      </c>
      <c r="D171" s="49" t="s">
        <v>50</v>
      </c>
      <c r="E171" s="49" t="s">
        <v>73</v>
      </c>
      <c r="F171" s="49" t="s">
        <v>52</v>
      </c>
      <c r="G171" s="49" t="s">
        <v>54</v>
      </c>
      <c r="H171" s="49" t="s">
        <v>54</v>
      </c>
      <c r="I171" s="49" t="s">
        <v>78</v>
      </c>
      <c r="J171" s="50">
        <f>IFERROR(VLOOKUP(D171,'[1]back office'!$A$4:$B$6,2,FALSE),"-")</f>
        <v>25</v>
      </c>
      <c r="K171" s="50">
        <f>IFERROR(VLOOKUP(E171,'[1]back office'!$C$4:$D$6,2,FALSE),"-")</f>
        <v>0</v>
      </c>
      <c r="L171" s="50">
        <f>IFERROR(VLOOKUP(F171,'[1]back office'!$E$4:$F$6,2,FALSE),"-")</f>
        <v>35</v>
      </c>
      <c r="M171" s="50">
        <f>IFERROR(VLOOKUP(G171,'[1]back office'!$G$4:$H$6,2,FALSE),"-")</f>
        <v>0</v>
      </c>
      <c r="N171" s="50">
        <f>IFERROR(VLOOKUP(H171,'[1]back office'!$I$4:$J$6,2,FALSE),"-")</f>
        <v>0</v>
      </c>
      <c r="O171" s="50" t="str">
        <f>IFERROR(VLOOKUP(I171,'[1]back office'!$K$4:$L$6,2,FALSE),"-")</f>
        <v>-</v>
      </c>
      <c r="P171" s="51">
        <f t="shared" si="79"/>
        <v>60</v>
      </c>
      <c r="Q171" s="49" t="s">
        <v>54</v>
      </c>
      <c r="R171" s="49" t="s">
        <v>57</v>
      </c>
      <c r="S171" s="49" t="s">
        <v>58</v>
      </c>
      <c r="T171" s="50">
        <f>IFERROR(VLOOKUP(Q171,'[1]back office'!$A$11:$B$13,2,FALSE),"-")</f>
        <v>0</v>
      </c>
      <c r="U171" s="50">
        <f>IFERROR(VLOOKUP(R171,'[1]back office'!$C$11:$D$13,2,FALSE),"-")</f>
        <v>0</v>
      </c>
      <c r="V171" s="50" t="str">
        <f>IFERROR(VLOOKUP(S171,'[1]back office'!$E$11:$F$13,2,FALSE),"-")</f>
        <v>-</v>
      </c>
      <c r="W171" s="51">
        <f t="shared" si="80"/>
        <v>0</v>
      </c>
      <c r="X171" s="49" t="s">
        <v>70</v>
      </c>
      <c r="Y171" s="49" t="s">
        <v>84</v>
      </c>
      <c r="Z171" s="49" t="s">
        <v>75</v>
      </c>
      <c r="AA171" s="49" t="s">
        <v>76</v>
      </c>
      <c r="AB171" s="50" t="str">
        <f>IFERROR(VLOOKUP(X171,'[1]back office'!$A$17:$B$19,2,FALSE),"-")</f>
        <v>-</v>
      </c>
      <c r="AC171" s="50">
        <f>IFERROR(VLOOKUP(Y171,'[1]back office'!$C$17:$D$19,2,FALSE),"-")</f>
        <v>5</v>
      </c>
      <c r="AD171" s="50">
        <f>IFERROR(VLOOKUP(Z171,'[1]back office'!$E$17:$F$19,2,FALSE),"-")</f>
        <v>20</v>
      </c>
      <c r="AE171" s="50">
        <f>IFERROR(VLOOKUP(AA171,'[1]back office'!$G$17:$H$19,2,FALSE),"-")</f>
        <v>0</v>
      </c>
      <c r="AF171" s="51">
        <f t="shared" si="81"/>
        <v>25</v>
      </c>
      <c r="AG171" s="49" t="s">
        <v>63</v>
      </c>
      <c r="AH171" s="51">
        <f>IFERROR(VLOOKUP(AG171,'[1]back office'!$A$23:$B$25,2,FALSE),"-")</f>
        <v>0</v>
      </c>
      <c r="AI171" s="49">
        <v>50</v>
      </c>
      <c r="AJ171" s="49">
        <v>15</v>
      </c>
      <c r="AK171" s="49">
        <f t="shared" si="82"/>
        <v>50</v>
      </c>
      <c r="AL171" s="49">
        <v>110</v>
      </c>
      <c r="AM171" s="51">
        <f t="shared" si="83"/>
        <v>160</v>
      </c>
      <c r="AN171" s="49" t="s">
        <v>318</v>
      </c>
      <c r="AO171" s="51" t="str">
        <f>IFERROR(VLOOKUP(AN171,'[1]back office'!$A$36:$B$38,2,FALSE),"-")</f>
        <v>-</v>
      </c>
    </row>
    <row r="172" spans="1:41">
      <c r="A172" s="47" t="s">
        <v>331</v>
      </c>
      <c r="B172" s="50" t="str">
        <f>IF(C172="","",IF(C172&gt;=PQCDSM!$G$4,"AA",IF(AND(C172&gt;=PQCDSM!$G$3,C172&lt;PQCDSM!$G$4),"A",IF(AND(C172&gt;=PQCDSM!$G$2,C172&lt;PQCDSM!$G$3),"B","C"))))</f>
        <v>A</v>
      </c>
      <c r="C172" s="50">
        <f t="shared" si="78"/>
        <v>245</v>
      </c>
      <c r="D172" s="49" t="s">
        <v>50</v>
      </c>
      <c r="E172" s="49" t="s">
        <v>73</v>
      </c>
      <c r="F172" s="49" t="s">
        <v>52</v>
      </c>
      <c r="G172" s="49" t="s">
        <v>54</v>
      </c>
      <c r="H172" s="49" t="s">
        <v>54</v>
      </c>
      <c r="I172" s="49" t="s">
        <v>78</v>
      </c>
      <c r="J172" s="50">
        <f>IFERROR(VLOOKUP(D172,'[1]back office'!$A$4:$B$6,2,FALSE),"-")</f>
        <v>25</v>
      </c>
      <c r="K172" s="50">
        <f>IFERROR(VLOOKUP(E172,'[1]back office'!$C$4:$D$6,2,FALSE),"-")</f>
        <v>0</v>
      </c>
      <c r="L172" s="50">
        <f>IFERROR(VLOOKUP(F172,'[1]back office'!$E$4:$F$6,2,FALSE),"-")</f>
        <v>35</v>
      </c>
      <c r="M172" s="50">
        <f>IFERROR(VLOOKUP(G172,'[1]back office'!$G$4:$H$6,2,FALSE),"-")</f>
        <v>0</v>
      </c>
      <c r="N172" s="50">
        <f>IFERROR(VLOOKUP(H172,'[1]back office'!$I$4:$J$6,2,FALSE),"-")</f>
        <v>0</v>
      </c>
      <c r="O172" s="50" t="str">
        <f>IFERROR(VLOOKUP(I172,'[1]back office'!$K$4:$L$6,2,FALSE),"-")</f>
        <v>-</v>
      </c>
      <c r="P172" s="51">
        <f t="shared" si="79"/>
        <v>60</v>
      </c>
      <c r="Q172" s="49" t="s">
        <v>54</v>
      </c>
      <c r="R172" s="49" t="s">
        <v>57</v>
      </c>
      <c r="S172" s="49" t="s">
        <v>58</v>
      </c>
      <c r="T172" s="50">
        <f>IFERROR(VLOOKUP(Q172,'[1]back office'!$A$11:$B$13,2,FALSE),"-")</f>
        <v>0</v>
      </c>
      <c r="U172" s="50">
        <f>IFERROR(VLOOKUP(R172,'[1]back office'!$C$11:$D$13,2,FALSE),"-")</f>
        <v>0</v>
      </c>
      <c r="V172" s="50" t="str">
        <f>IFERROR(VLOOKUP(S172,'[1]back office'!$E$11:$F$13,2,FALSE),"-")</f>
        <v>-</v>
      </c>
      <c r="W172" s="51">
        <f t="shared" si="80"/>
        <v>0</v>
      </c>
      <c r="X172" s="49" t="s">
        <v>70</v>
      </c>
      <c r="Y172" s="49" t="s">
        <v>84</v>
      </c>
      <c r="Z172" s="49" t="s">
        <v>75</v>
      </c>
      <c r="AA172" s="49" t="s">
        <v>76</v>
      </c>
      <c r="AB172" s="50" t="str">
        <f>IFERROR(VLOOKUP(X172,'[1]back office'!$A$17:$B$19,2,FALSE),"-")</f>
        <v>-</v>
      </c>
      <c r="AC172" s="50">
        <f>IFERROR(VLOOKUP(Y172,'[1]back office'!$C$17:$D$19,2,FALSE),"-")</f>
        <v>5</v>
      </c>
      <c r="AD172" s="50">
        <f>IFERROR(VLOOKUP(Z172,'[1]back office'!$E$17:$F$19,2,FALSE),"-")</f>
        <v>20</v>
      </c>
      <c r="AE172" s="50">
        <f>IFERROR(VLOOKUP(AA172,'[1]back office'!$G$17:$H$19,2,FALSE),"-")</f>
        <v>0</v>
      </c>
      <c r="AF172" s="51">
        <f t="shared" si="81"/>
        <v>25</v>
      </c>
      <c r="AG172" s="49" t="s">
        <v>63</v>
      </c>
      <c r="AH172" s="51">
        <f>IFERROR(VLOOKUP(AG172,'[1]back office'!$A$23:$B$25,2,FALSE),"-")</f>
        <v>0</v>
      </c>
      <c r="AI172" s="49">
        <v>50</v>
      </c>
      <c r="AJ172" s="49">
        <v>15</v>
      </c>
      <c r="AK172" s="49">
        <f t="shared" si="82"/>
        <v>50</v>
      </c>
      <c r="AL172" s="49">
        <v>110</v>
      </c>
      <c r="AM172" s="51">
        <f t="shared" si="83"/>
        <v>160</v>
      </c>
      <c r="AN172" s="49" t="s">
        <v>318</v>
      </c>
      <c r="AO172" s="51" t="str">
        <f>IFERROR(VLOOKUP(AN172,'[1]back office'!$A$36:$B$38,2,FALSE),"-")</f>
        <v>-</v>
      </c>
    </row>
  </sheetData>
  <mergeCells count="7">
    <mergeCell ref="F1:F4"/>
    <mergeCell ref="AN8:AO8"/>
    <mergeCell ref="D8:P8"/>
    <mergeCell ref="Q8:W8"/>
    <mergeCell ref="X8:AF8"/>
    <mergeCell ref="AG8:AH8"/>
    <mergeCell ref="AI8:AM8"/>
  </mergeCells>
  <phoneticPr fontId="9" type="noConversion"/>
  <conditionalFormatting sqref="B10 B27:B30 B33:B39 B12 B23:B25 B15:B21 B67:B159">
    <cfRule type="containsText" dxfId="287" priority="119" operator="containsText" text="C">
      <formula>NOT(ISERROR(SEARCH("C",B10)))</formula>
    </cfRule>
    <cfRule type="containsText" dxfId="286" priority="120" operator="containsText" text="B">
      <formula>NOT(ISERROR(SEARCH("B",B10)))</formula>
    </cfRule>
    <cfRule type="cellIs" dxfId="285" priority="121" operator="equal">
      <formula>"A"</formula>
    </cfRule>
    <cfRule type="containsText" dxfId="284" priority="122" operator="containsText" text="AA">
      <formula>NOT(ISERROR(SEARCH("AA",B10)))</formula>
    </cfRule>
  </conditionalFormatting>
  <conditionalFormatting sqref="B26">
    <cfRule type="containsText" dxfId="283" priority="113" operator="containsText" text="C">
      <formula>NOT(ISERROR(SEARCH("C",B26)))</formula>
    </cfRule>
    <cfRule type="containsText" dxfId="282" priority="114" operator="containsText" text="B">
      <formula>NOT(ISERROR(SEARCH("B",B26)))</formula>
    </cfRule>
    <cfRule type="cellIs" dxfId="281" priority="115" operator="equal">
      <formula>"A"</formula>
    </cfRule>
    <cfRule type="containsText" dxfId="280" priority="116" operator="containsText" text="AA">
      <formula>NOT(ISERROR(SEARCH("AA",B26)))</formula>
    </cfRule>
  </conditionalFormatting>
  <conditionalFormatting sqref="A28">
    <cfRule type="duplicateValues" dxfId="279" priority="112"/>
  </conditionalFormatting>
  <conditionalFormatting sqref="B31:B32">
    <cfRule type="containsText" dxfId="278" priority="103" operator="containsText" text="C">
      <formula>NOT(ISERROR(SEARCH("C",B31)))</formula>
    </cfRule>
    <cfRule type="containsText" dxfId="277" priority="104" operator="containsText" text="B">
      <formula>NOT(ISERROR(SEARCH("B",B31)))</formula>
    </cfRule>
    <cfRule type="cellIs" dxfId="276" priority="105" operator="equal">
      <formula>"A"</formula>
    </cfRule>
    <cfRule type="containsText" dxfId="275" priority="106" operator="containsText" text="AA">
      <formula>NOT(ISERROR(SEARCH("AA",B31)))</formula>
    </cfRule>
  </conditionalFormatting>
  <conditionalFormatting sqref="B13">
    <cfRule type="containsText" dxfId="274" priority="93" operator="containsText" text="C">
      <formula>NOT(ISERROR(SEARCH("C",B13)))</formula>
    </cfRule>
    <cfRule type="containsText" dxfId="273" priority="94" operator="containsText" text="B">
      <formula>NOT(ISERROR(SEARCH("B",B13)))</formula>
    </cfRule>
    <cfRule type="cellIs" dxfId="272" priority="95" operator="equal">
      <formula>"A"</formula>
    </cfRule>
    <cfRule type="containsText" dxfId="271" priority="96" operator="containsText" text="AA">
      <formula>NOT(ISERROR(SEARCH("AA",B13)))</formula>
    </cfRule>
  </conditionalFormatting>
  <conditionalFormatting sqref="A13">
    <cfRule type="duplicateValues" dxfId="270" priority="92"/>
  </conditionalFormatting>
  <conditionalFormatting sqref="B14">
    <cfRule type="containsText" dxfId="269" priority="87" operator="containsText" text="C">
      <formula>NOT(ISERROR(SEARCH("C",B14)))</formula>
    </cfRule>
    <cfRule type="containsText" dxfId="268" priority="88" operator="containsText" text="B">
      <formula>NOT(ISERROR(SEARCH("B",B14)))</formula>
    </cfRule>
    <cfRule type="cellIs" dxfId="267" priority="89" operator="equal">
      <formula>"A"</formula>
    </cfRule>
    <cfRule type="containsText" dxfId="266" priority="90" operator="containsText" text="AA">
      <formula>NOT(ISERROR(SEARCH("AA",B14)))</formula>
    </cfRule>
  </conditionalFormatting>
  <conditionalFormatting sqref="A14">
    <cfRule type="duplicateValues" dxfId="265" priority="86"/>
  </conditionalFormatting>
  <conditionalFormatting sqref="A29:A41 A7:A10 A15:A21 A24:A25 A27 A12 A173:A1048576">
    <cfRule type="duplicateValues" dxfId="264" priority="186"/>
  </conditionalFormatting>
  <conditionalFormatting sqref="B41:B47">
    <cfRule type="containsText" dxfId="263" priority="72" operator="containsText" text="C">
      <formula>NOT(ISERROR(SEARCH("C",B41)))</formula>
    </cfRule>
    <cfRule type="containsText" dxfId="262" priority="73" operator="containsText" text="B">
      <formula>NOT(ISERROR(SEARCH("B",B41)))</formula>
    </cfRule>
    <cfRule type="cellIs" dxfId="261" priority="74" operator="equal">
      <formula>"A"</formula>
    </cfRule>
    <cfRule type="containsText" dxfId="260" priority="75" operator="containsText" text="AA">
      <formula>NOT(ISERROR(SEARCH("AA",B41)))</formula>
    </cfRule>
  </conditionalFormatting>
  <conditionalFormatting sqref="A43:A45">
    <cfRule type="duplicateValues" dxfId="259" priority="76"/>
  </conditionalFormatting>
  <conditionalFormatting sqref="B48">
    <cfRule type="containsText" dxfId="258" priority="68" operator="containsText" text="C">
      <formula>NOT(ISERROR(SEARCH("C",B48)))</formula>
    </cfRule>
    <cfRule type="containsText" dxfId="257" priority="69" operator="containsText" text="B">
      <formula>NOT(ISERROR(SEARCH("B",B48)))</formula>
    </cfRule>
    <cfRule type="cellIs" dxfId="256" priority="70" operator="equal">
      <formula>"A"</formula>
    </cfRule>
    <cfRule type="containsText" dxfId="255" priority="71" operator="containsText" text="AA">
      <formula>NOT(ISERROR(SEARCH("AA",B48)))</formula>
    </cfRule>
  </conditionalFormatting>
  <conditionalFormatting sqref="B40">
    <cfRule type="containsText" dxfId="254" priority="62" operator="containsText" text="C">
      <formula>NOT(ISERROR(SEARCH("C",B40)))</formula>
    </cfRule>
    <cfRule type="containsText" dxfId="253" priority="63" operator="containsText" text="B">
      <formula>NOT(ISERROR(SEARCH("B",B40)))</formula>
    </cfRule>
    <cfRule type="cellIs" dxfId="252" priority="64" operator="equal">
      <formula>"A"</formula>
    </cfRule>
    <cfRule type="containsText" dxfId="251" priority="65" operator="containsText" text="AA">
      <formula>NOT(ISERROR(SEARCH("AA",B40)))</formula>
    </cfRule>
  </conditionalFormatting>
  <conditionalFormatting sqref="A42">
    <cfRule type="duplicateValues" dxfId="250" priority="66"/>
  </conditionalFormatting>
  <conditionalFormatting sqref="A23">
    <cfRule type="duplicateValues" dxfId="249" priority="61"/>
  </conditionalFormatting>
  <conditionalFormatting sqref="A26">
    <cfRule type="duplicateValues" dxfId="248" priority="60"/>
  </conditionalFormatting>
  <conditionalFormatting sqref="B11">
    <cfRule type="containsText" dxfId="247" priority="44" operator="containsText" text="C">
      <formula>NOT(ISERROR(SEARCH("C",B11)))</formula>
    </cfRule>
    <cfRule type="containsText" dxfId="246" priority="45" operator="containsText" text="B">
      <formula>NOT(ISERROR(SEARCH("B",B11)))</formula>
    </cfRule>
    <cfRule type="cellIs" dxfId="245" priority="46" operator="equal">
      <formula>"A"</formula>
    </cfRule>
    <cfRule type="containsText" dxfId="244" priority="47" operator="containsText" text="AA">
      <formula>NOT(ISERROR(SEARCH("AA",B11)))</formula>
    </cfRule>
  </conditionalFormatting>
  <conditionalFormatting sqref="A11">
    <cfRule type="duplicateValues" dxfId="243" priority="49"/>
  </conditionalFormatting>
  <conditionalFormatting sqref="B22">
    <cfRule type="containsText" dxfId="242" priority="39" operator="containsText" text="C">
      <formula>NOT(ISERROR(SEARCH("C",B22)))</formula>
    </cfRule>
    <cfRule type="containsText" dxfId="241" priority="40" operator="containsText" text="B">
      <formula>NOT(ISERROR(SEARCH("B",B22)))</formula>
    </cfRule>
    <cfRule type="cellIs" dxfId="240" priority="41" operator="equal">
      <formula>"A"</formula>
    </cfRule>
    <cfRule type="containsText" dxfId="239" priority="42" operator="containsText" text="AA">
      <formula>NOT(ISERROR(SEARCH("AA",B22)))</formula>
    </cfRule>
  </conditionalFormatting>
  <conditionalFormatting sqref="A22">
    <cfRule type="duplicateValues" dxfId="238" priority="43"/>
  </conditionalFormatting>
  <conditionalFormatting sqref="B50">
    <cfRule type="containsText" dxfId="237" priority="34" operator="containsText" text="C">
      <formula>NOT(ISERROR(SEARCH("C",B50)))</formula>
    </cfRule>
    <cfRule type="containsText" dxfId="236" priority="35" operator="containsText" text="B">
      <formula>NOT(ISERROR(SEARCH("B",B50)))</formula>
    </cfRule>
    <cfRule type="cellIs" dxfId="235" priority="36" operator="equal">
      <formula>"A"</formula>
    </cfRule>
    <cfRule type="containsText" dxfId="234" priority="37" operator="containsText" text="AA">
      <formula>NOT(ISERROR(SEARCH("AA",B50)))</formula>
    </cfRule>
  </conditionalFormatting>
  <conditionalFormatting sqref="B49">
    <cfRule type="containsText" dxfId="233" priority="29" operator="containsText" text="C">
      <formula>NOT(ISERROR(SEARCH("C",B49)))</formula>
    </cfRule>
    <cfRule type="containsText" dxfId="232" priority="30" operator="containsText" text="B">
      <formula>NOT(ISERROR(SEARCH("B",B49)))</formula>
    </cfRule>
    <cfRule type="cellIs" dxfId="231" priority="31" operator="equal">
      <formula>"A"</formula>
    </cfRule>
    <cfRule type="containsText" dxfId="230" priority="32" operator="containsText" text="AA">
      <formula>NOT(ISERROR(SEARCH("AA",B49)))</formula>
    </cfRule>
  </conditionalFormatting>
  <conditionalFormatting sqref="B51">
    <cfRule type="containsText" dxfId="229" priority="24" operator="containsText" text="C">
      <formula>NOT(ISERROR(SEARCH("C",B51)))</formula>
    </cfRule>
    <cfRule type="containsText" dxfId="228" priority="25" operator="containsText" text="B">
      <formula>NOT(ISERROR(SEARCH("B",B51)))</formula>
    </cfRule>
    <cfRule type="cellIs" dxfId="227" priority="26" operator="equal">
      <formula>"A"</formula>
    </cfRule>
    <cfRule type="containsText" dxfId="226" priority="27" operator="containsText" text="AA">
      <formula>NOT(ISERROR(SEARCH("AA",B51)))</formula>
    </cfRule>
  </conditionalFormatting>
  <conditionalFormatting sqref="B160:B172">
    <cfRule type="containsText" dxfId="225" priority="8" operator="containsText" text="C">
      <formula>NOT(ISERROR(SEARCH("C",B160)))</formula>
    </cfRule>
    <cfRule type="containsText" dxfId="224" priority="9" operator="containsText" text="B">
      <formula>NOT(ISERROR(SEARCH("B",B160)))</formula>
    </cfRule>
    <cfRule type="cellIs" dxfId="223" priority="10" operator="equal">
      <formula>"A"</formula>
    </cfRule>
    <cfRule type="containsText" dxfId="222" priority="11" operator="containsText" text="AA">
      <formula>NOT(ISERROR(SEARCH("AA",B160)))</formula>
    </cfRule>
  </conditionalFormatting>
  <conditionalFormatting sqref="A46:A51 A67:A172">
    <cfRule type="duplicateValues" dxfId="221" priority="7"/>
  </conditionalFormatting>
  <conditionalFormatting sqref="B52:B66">
    <cfRule type="containsText" dxfId="220" priority="3" operator="containsText" text="C">
      <formula>NOT(ISERROR(SEARCH("C",B52)))</formula>
    </cfRule>
    <cfRule type="containsText" dxfId="219" priority="4" operator="containsText" text="B">
      <formula>NOT(ISERROR(SEARCH("B",B52)))</formula>
    </cfRule>
    <cfRule type="cellIs" dxfId="218" priority="5" operator="equal">
      <formula>"A"</formula>
    </cfRule>
    <cfRule type="containsText" dxfId="217" priority="6" operator="containsText" text="AA">
      <formula>NOT(ISERROR(SEARCH("AA",B52)))</formula>
    </cfRule>
  </conditionalFormatting>
  <conditionalFormatting sqref="A52:A66">
    <cfRule type="duplicateValues" dxfId="216" priority="2"/>
  </conditionalFormatting>
  <conditionalFormatting sqref="A6">
    <cfRule type="duplicateValues" dxfId="215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'C:\Users\Mohammed el bhiry\Desktop\New folder (2)\[Classificazione Macchine PQCDSM - Protected.xlsx]back office'!#REF!</xm:f>
          </x14:formula1>
          <xm:sqref>AL23:AL30 AL41:AL48 AL50:AL56 AL32:AL39 AL58:AL64 AL66:AL172 AL10:AL18 AN10:AN172</xm:sqref>
        </x14:dataValidation>
        <x14:dataValidation type="list" allowBlank="1" showInputMessage="1" showErrorMessage="1" xr:uid="{00000000-0002-0000-0000-000002000000}">
          <x14:formula1>
            <xm:f>'back office'!$A$23:$A$25</xm:f>
          </x14:formula1>
          <xm:sqref>AG10:AG172</xm:sqref>
        </x14:dataValidation>
        <x14:dataValidation type="list" allowBlank="1" showInputMessage="1" showErrorMessage="1" xr:uid="{00000000-0002-0000-0000-000003000000}">
          <x14:formula1>
            <xm:f>'back office'!$G$17:$G$19</xm:f>
          </x14:formula1>
          <xm:sqref>AA10:AA172</xm:sqref>
        </x14:dataValidation>
        <x14:dataValidation type="list" allowBlank="1" showInputMessage="1" showErrorMessage="1" xr:uid="{00000000-0002-0000-0000-000004000000}">
          <x14:formula1>
            <xm:f>'back office'!$E$17:$E$19</xm:f>
          </x14:formula1>
          <xm:sqref>Z10:Z172</xm:sqref>
        </x14:dataValidation>
        <x14:dataValidation type="list" allowBlank="1" showInputMessage="1" showErrorMessage="1" xr:uid="{00000000-0002-0000-0000-000005000000}">
          <x14:formula1>
            <xm:f>'back office'!$C$17:$C$19</xm:f>
          </x14:formula1>
          <xm:sqref>Y10:Y172</xm:sqref>
        </x14:dataValidation>
        <x14:dataValidation type="list" allowBlank="1" showInputMessage="1" showErrorMessage="1" xr:uid="{00000000-0002-0000-0000-000006000000}">
          <x14:formula1>
            <xm:f>'back office'!$A$17:$A$19</xm:f>
          </x14:formula1>
          <xm:sqref>X10:X172</xm:sqref>
        </x14:dataValidation>
        <x14:dataValidation type="list" allowBlank="1" showInputMessage="1" showErrorMessage="1" xr:uid="{00000000-0002-0000-0000-000007000000}">
          <x14:formula1>
            <xm:f>'back office'!$E$11:$E$13</xm:f>
          </x14:formula1>
          <xm:sqref>S10:S172</xm:sqref>
        </x14:dataValidation>
        <x14:dataValidation type="list" allowBlank="1" showInputMessage="1" showErrorMessage="1" xr:uid="{00000000-0002-0000-0000-000008000000}">
          <x14:formula1>
            <xm:f>'back office'!$C$11:$C$13</xm:f>
          </x14:formula1>
          <xm:sqref>R10:R172</xm:sqref>
        </x14:dataValidation>
        <x14:dataValidation type="list" allowBlank="1" showInputMessage="1" showErrorMessage="1" xr:uid="{00000000-0002-0000-0000-000009000000}">
          <x14:formula1>
            <xm:f>'back office'!$A$11:$A$13</xm:f>
          </x14:formula1>
          <xm:sqref>Q10:Q172</xm:sqref>
        </x14:dataValidation>
        <x14:dataValidation type="list" allowBlank="1" showInputMessage="1" showErrorMessage="1" xr:uid="{00000000-0002-0000-0000-00000A000000}">
          <x14:formula1>
            <xm:f>'back office'!$K$4:$K$7</xm:f>
          </x14:formula1>
          <xm:sqref>I10:I172</xm:sqref>
        </x14:dataValidation>
        <x14:dataValidation type="list" allowBlank="1" showInputMessage="1" showErrorMessage="1" xr:uid="{00000000-0002-0000-0000-00000B000000}">
          <x14:formula1>
            <xm:f>'back office'!$I$4:$I$5</xm:f>
          </x14:formula1>
          <xm:sqref>H10:H172</xm:sqref>
        </x14:dataValidation>
        <x14:dataValidation type="list" allowBlank="1" showInputMessage="1" showErrorMessage="1" xr:uid="{00000000-0002-0000-0000-00000C000000}">
          <x14:formula1>
            <xm:f>'back office'!$G$4:$G$6</xm:f>
          </x14:formula1>
          <xm:sqref>G10:G172</xm:sqref>
        </x14:dataValidation>
        <x14:dataValidation type="list" allowBlank="1" showInputMessage="1" showErrorMessage="1" xr:uid="{00000000-0002-0000-0000-00000D000000}">
          <x14:formula1>
            <xm:f>'back office'!$E$4:$E$6</xm:f>
          </x14:formula1>
          <xm:sqref>F10:F172</xm:sqref>
        </x14:dataValidation>
        <x14:dataValidation type="list" allowBlank="1" showInputMessage="1" showErrorMessage="1" xr:uid="{00000000-0002-0000-0000-00000E000000}">
          <x14:formula1>
            <xm:f>'back office'!$C$4:$C$6</xm:f>
          </x14:formula1>
          <xm:sqref>E10:E172</xm:sqref>
        </x14:dataValidation>
        <x14:dataValidation type="list" allowBlank="1" showInputMessage="1" showErrorMessage="1" xr:uid="{C8C54582-844B-4809-96B2-52C653648480}">
          <x14:formula1>
            <xm:f>'back office'!$A$4:$A$6</xm:f>
          </x14:formula1>
          <xm:sqref>D10:D172</xm:sqref>
        </x14:dataValidation>
        <x14:dataValidation type="list" allowBlank="1" showInputMessage="1" showErrorMessage="1" xr:uid="{00000000-0002-0000-0000-000010000000}">
          <x14:formula1>
            <xm:f>'C:\users\f84145c\AppData\Local\Microsoft\Windows\INetCache\Content.Outlook\LSJGEDD2\[Copy of PM machine classification (3).xlsx]back office'!#REF!</xm:f>
          </x14:formula1>
          <xm:sqref>AJ10:AJ172</xm:sqref>
        </x14:dataValidation>
        <x14:dataValidation type="list" allowBlank="1" showInputMessage="1" showErrorMessage="1" xr:uid="{00000000-0002-0000-0000-000011000000}">
          <x14:formula1>
            <xm:f>'back office'!$B$29:$B$32</xm:f>
          </x14:formula1>
          <xm:sqref>AI10:AI172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E164"/>
  <sheetViews>
    <sheetView showGridLines="0" tabSelected="1" zoomScale="68" zoomScaleNormal="68" workbookViewId="0">
      <selection activeCell="L46" sqref="L46"/>
    </sheetView>
  </sheetViews>
  <sheetFormatPr defaultColWidth="9.140625" defaultRowHeight="14.45"/>
  <cols>
    <col min="1" max="1" width="37.7109375" bestFit="1" customWidth="1"/>
    <col min="2" max="2" width="15.5703125" bestFit="1" customWidth="1"/>
    <col min="3" max="3" width="14" customWidth="1"/>
    <col min="4" max="4" width="12.140625" customWidth="1"/>
    <col min="13" max="13" width="9.140625" customWidth="1"/>
  </cols>
  <sheetData>
    <row r="1" spans="1:5">
      <c r="A1" s="31" t="s">
        <v>24</v>
      </c>
      <c r="B1" s="31" t="s">
        <v>25</v>
      </c>
      <c r="C1" s="31" t="s">
        <v>26</v>
      </c>
      <c r="D1" s="54" t="s">
        <v>332</v>
      </c>
      <c r="E1" s="31" t="s">
        <v>333</v>
      </c>
    </row>
    <row r="2" spans="1:5">
      <c r="A2" s="47" t="s">
        <v>65</v>
      </c>
      <c r="B2" s="50" t="s">
        <v>11</v>
      </c>
      <c r="C2" s="50">
        <v>270</v>
      </c>
      <c r="D2" s="55">
        <f>C2/SUM(C:C)</f>
        <v>7.9264891524528074E-3</v>
      </c>
      <c r="E2" s="48">
        <f>+SUM($D$2:D2)</f>
        <v>7.9264891524528074E-3</v>
      </c>
    </row>
    <row r="3" spans="1:5">
      <c r="A3" s="47" t="s">
        <v>49</v>
      </c>
      <c r="B3" s="50" t="s">
        <v>11</v>
      </c>
      <c r="C3" s="50">
        <v>265</v>
      </c>
      <c r="D3" s="55">
        <f t="shared" ref="D3:D62" si="0">C3/SUM(C:C)</f>
        <v>7.7797023162962742E-3</v>
      </c>
      <c r="E3" s="48">
        <f>+SUM($D$2:D3)</f>
        <v>1.5706191468749083E-2</v>
      </c>
    </row>
    <row r="4" spans="1:5">
      <c r="A4" s="47" t="s">
        <v>67</v>
      </c>
      <c r="B4" s="50" t="s">
        <v>11</v>
      </c>
      <c r="C4" s="50">
        <v>265</v>
      </c>
      <c r="D4" s="55">
        <f t="shared" si="0"/>
        <v>7.7797023162962742E-3</v>
      </c>
      <c r="E4" s="48">
        <f>+SUM($D$2:D4)</f>
        <v>2.3485893785045356E-2</v>
      </c>
    </row>
    <row r="5" spans="1:5">
      <c r="A5" s="47" t="s">
        <v>321</v>
      </c>
      <c r="B5" s="50" t="s">
        <v>11</v>
      </c>
      <c r="C5" s="50">
        <v>260</v>
      </c>
      <c r="D5" s="55">
        <f t="shared" si="0"/>
        <v>7.632915480139741E-3</v>
      </c>
      <c r="E5" s="48">
        <f>+SUM($D$2:D5)</f>
        <v>3.1118809265185097E-2</v>
      </c>
    </row>
    <row r="6" spans="1:5" ht="18" customHeight="1">
      <c r="A6" s="47" t="s">
        <v>322</v>
      </c>
      <c r="B6" s="50" t="s">
        <v>11</v>
      </c>
      <c r="C6" s="50">
        <v>260</v>
      </c>
      <c r="D6" s="55">
        <f t="shared" si="0"/>
        <v>7.632915480139741E-3</v>
      </c>
      <c r="E6" s="48">
        <f>+SUM($D$2:D6)</f>
        <v>3.8751724745324838E-2</v>
      </c>
    </row>
    <row r="7" spans="1:5">
      <c r="A7" s="47" t="s">
        <v>323</v>
      </c>
      <c r="B7" s="50" t="s">
        <v>11</v>
      </c>
      <c r="C7" s="50">
        <v>260</v>
      </c>
      <c r="D7" s="55">
        <f t="shared" si="0"/>
        <v>7.632915480139741E-3</v>
      </c>
      <c r="E7" s="48">
        <f>+SUM($D$2:D7)</f>
        <v>4.6384640225464582E-2</v>
      </c>
    </row>
    <row r="8" spans="1:5">
      <c r="A8" s="47" t="s">
        <v>324</v>
      </c>
      <c r="B8" s="50" t="s">
        <v>11</v>
      </c>
      <c r="C8" s="50">
        <v>260</v>
      </c>
      <c r="D8" s="55">
        <f t="shared" si="0"/>
        <v>7.632915480139741E-3</v>
      </c>
      <c r="E8" s="48">
        <f>+SUM($D$2:D8)</f>
        <v>5.401755570560432E-2</v>
      </c>
    </row>
    <row r="9" spans="1:5">
      <c r="A9" s="47" t="s">
        <v>264</v>
      </c>
      <c r="B9" s="50" t="s">
        <v>8</v>
      </c>
      <c r="C9" s="50">
        <v>249</v>
      </c>
      <c r="D9" s="55">
        <f t="shared" si="0"/>
        <v>7.3099844405953678E-3</v>
      </c>
      <c r="E9" s="48">
        <f>+SUM($D$2:D9)</f>
        <v>6.1327540146199691E-2</v>
      </c>
    </row>
    <row r="10" spans="1:5">
      <c r="A10" s="47" t="s">
        <v>262</v>
      </c>
      <c r="B10" s="50" t="s">
        <v>8</v>
      </c>
      <c r="C10" s="50">
        <v>248</v>
      </c>
      <c r="D10" s="55">
        <f t="shared" si="0"/>
        <v>7.2806270733640609E-3</v>
      </c>
      <c r="E10" s="48">
        <f>+SUM($D$2:D10)</f>
        <v>6.8608167219563754E-2</v>
      </c>
    </row>
    <row r="11" spans="1:5">
      <c r="A11" s="47" t="s">
        <v>260</v>
      </c>
      <c r="B11" s="50" t="s">
        <v>8</v>
      </c>
      <c r="C11" s="50">
        <v>247</v>
      </c>
      <c r="D11" s="55">
        <f t="shared" si="0"/>
        <v>7.2512697061327541E-3</v>
      </c>
      <c r="E11" s="48">
        <f>+SUM($D$2:D11)</f>
        <v>7.5859436925696508E-2</v>
      </c>
    </row>
    <row r="12" spans="1:5">
      <c r="A12" s="47" t="s">
        <v>300</v>
      </c>
      <c r="B12" s="50" t="s">
        <v>8</v>
      </c>
      <c r="C12" s="50">
        <v>247</v>
      </c>
      <c r="D12" s="55">
        <f t="shared" si="0"/>
        <v>7.2512697061327541E-3</v>
      </c>
      <c r="E12" s="48">
        <f>+SUM($D$2:D12)</f>
        <v>8.3110706631829262E-2</v>
      </c>
    </row>
    <row r="13" spans="1:5">
      <c r="A13" s="47" t="s">
        <v>258</v>
      </c>
      <c r="B13" s="50" t="s">
        <v>8</v>
      </c>
      <c r="C13" s="50">
        <v>246</v>
      </c>
      <c r="D13" s="55">
        <f t="shared" si="0"/>
        <v>7.2219123389014473E-3</v>
      </c>
      <c r="E13" s="48">
        <f>+SUM($D$2:D13)</f>
        <v>9.0332618970730708E-2</v>
      </c>
    </row>
    <row r="14" spans="1:5">
      <c r="A14" s="47" t="s">
        <v>68</v>
      </c>
      <c r="B14" s="50" t="s">
        <v>8</v>
      </c>
      <c r="C14" s="50">
        <v>245</v>
      </c>
      <c r="D14" s="55">
        <f t="shared" si="0"/>
        <v>7.1925549716701405E-3</v>
      </c>
      <c r="E14" s="48">
        <f>+SUM($D$2:D14)</f>
        <v>9.7525173942400845E-2</v>
      </c>
    </row>
    <row r="15" spans="1:5">
      <c r="A15" s="47" t="s">
        <v>256</v>
      </c>
      <c r="B15" s="50" t="s">
        <v>8</v>
      </c>
      <c r="C15" s="50">
        <v>245</v>
      </c>
      <c r="D15" s="55">
        <f t="shared" si="0"/>
        <v>7.1925549716701405E-3</v>
      </c>
      <c r="E15" s="48">
        <f>+SUM($D$2:D15)</f>
        <v>0.10471772891407098</v>
      </c>
    </row>
    <row r="16" spans="1:5">
      <c r="A16" s="47" t="s">
        <v>330</v>
      </c>
      <c r="B16" s="50" t="s">
        <v>8</v>
      </c>
      <c r="C16" s="50">
        <v>245</v>
      </c>
      <c r="D16" s="55">
        <f t="shared" si="0"/>
        <v>7.1925549716701405E-3</v>
      </c>
      <c r="E16" s="48">
        <f>+SUM($D$2:D16)</f>
        <v>0.11191028388574112</v>
      </c>
    </row>
    <row r="17" spans="1:5">
      <c r="A17" s="47" t="s">
        <v>331</v>
      </c>
      <c r="B17" s="50" t="s">
        <v>8</v>
      </c>
      <c r="C17" s="50">
        <v>245</v>
      </c>
      <c r="D17" s="55">
        <f t="shared" si="0"/>
        <v>7.1925549716701405E-3</v>
      </c>
      <c r="E17" s="48">
        <f>+SUM($D$2:D17)</f>
        <v>0.11910283885741126</v>
      </c>
    </row>
    <row r="18" spans="1:5">
      <c r="A18" s="47" t="s">
        <v>254</v>
      </c>
      <c r="B18" s="50" t="s">
        <v>8</v>
      </c>
      <c r="C18" s="50">
        <v>244</v>
      </c>
      <c r="D18" s="55">
        <f t="shared" si="0"/>
        <v>7.1631976044388337E-3</v>
      </c>
      <c r="E18" s="48">
        <f>+SUM($D$2:D18)</f>
        <v>0.12626603646185008</v>
      </c>
    </row>
    <row r="19" spans="1:5">
      <c r="A19" s="47" t="s">
        <v>252</v>
      </c>
      <c r="B19" s="50" t="s">
        <v>8</v>
      </c>
      <c r="C19" s="50">
        <v>243</v>
      </c>
      <c r="D19" s="55">
        <f t="shared" si="0"/>
        <v>7.1338402372075269E-3</v>
      </c>
      <c r="E19" s="48">
        <f>+SUM($D$2:D19)</f>
        <v>0.13339987669905762</v>
      </c>
    </row>
    <row r="20" spans="1:5">
      <c r="A20" s="47" t="s">
        <v>250</v>
      </c>
      <c r="B20" s="50" t="s">
        <v>8</v>
      </c>
      <c r="C20" s="50">
        <v>242</v>
      </c>
      <c r="D20" s="55">
        <f t="shared" si="0"/>
        <v>7.1044828699762209E-3</v>
      </c>
      <c r="E20" s="48">
        <f>+SUM($D$2:D20)</f>
        <v>0.14050435956903384</v>
      </c>
    </row>
    <row r="21" spans="1:5">
      <c r="A21" s="47" t="s">
        <v>248</v>
      </c>
      <c r="B21" s="50" t="s">
        <v>8</v>
      </c>
      <c r="C21" s="50">
        <v>241</v>
      </c>
      <c r="D21" s="55">
        <f t="shared" si="0"/>
        <v>7.0751255027449141E-3</v>
      </c>
      <c r="E21" s="48">
        <f>+SUM($D$2:D21)</f>
        <v>0.14757948507177876</v>
      </c>
    </row>
    <row r="22" spans="1:5">
      <c r="A22" s="47" t="s">
        <v>71</v>
      </c>
      <c r="B22" s="50" t="s">
        <v>8</v>
      </c>
      <c r="C22" s="50">
        <v>240</v>
      </c>
      <c r="D22" s="55">
        <f t="shared" si="0"/>
        <v>7.0457681355136073E-3</v>
      </c>
      <c r="E22" s="48">
        <f>+SUM($D$2:D22)</f>
        <v>0.15462525320729237</v>
      </c>
    </row>
    <row r="23" spans="1:5">
      <c r="A23" s="47" t="s">
        <v>219</v>
      </c>
      <c r="B23" s="50" t="s">
        <v>8</v>
      </c>
      <c r="C23" s="50">
        <v>240</v>
      </c>
      <c r="D23" s="55">
        <f t="shared" si="0"/>
        <v>7.0457681355136073E-3</v>
      </c>
      <c r="E23" s="48">
        <f>+SUM($D$2:D23)</f>
        <v>0.16167102134280598</v>
      </c>
    </row>
    <row r="24" spans="1:5">
      <c r="A24" s="47" t="s">
        <v>317</v>
      </c>
      <c r="B24" s="50" t="s">
        <v>8</v>
      </c>
      <c r="C24" s="50">
        <v>240</v>
      </c>
      <c r="D24" s="55">
        <f t="shared" si="0"/>
        <v>7.0457681355136073E-3</v>
      </c>
      <c r="E24" s="48">
        <f>+SUM($D$2:D24)</f>
        <v>0.16871678947831958</v>
      </c>
    </row>
    <row r="25" spans="1:5">
      <c r="A25" s="47" t="s">
        <v>319</v>
      </c>
      <c r="B25" s="50" t="s">
        <v>8</v>
      </c>
      <c r="C25" s="50">
        <v>240</v>
      </c>
      <c r="D25" s="55">
        <f t="shared" si="0"/>
        <v>7.0457681355136073E-3</v>
      </c>
      <c r="E25" s="48">
        <f>+SUM($D$2:D25)</f>
        <v>0.17576255761383319</v>
      </c>
    </row>
    <row r="26" spans="1:5">
      <c r="A26" s="47" t="s">
        <v>320</v>
      </c>
      <c r="B26" s="50" t="s">
        <v>8</v>
      </c>
      <c r="C26" s="50">
        <v>240</v>
      </c>
      <c r="D26" s="55">
        <f t="shared" si="0"/>
        <v>7.0457681355136073E-3</v>
      </c>
      <c r="E26" s="48">
        <f>+SUM($D$2:D26)</f>
        <v>0.1828083257493468</v>
      </c>
    </row>
    <row r="27" spans="1:5">
      <c r="A27" s="47" t="s">
        <v>325</v>
      </c>
      <c r="B27" s="50" t="s">
        <v>8</v>
      </c>
      <c r="C27" s="50">
        <v>240</v>
      </c>
      <c r="D27" s="55">
        <f t="shared" si="0"/>
        <v>7.0457681355136073E-3</v>
      </c>
      <c r="E27" s="48">
        <f>+SUM($D$2:D27)</f>
        <v>0.18985409388486041</v>
      </c>
    </row>
    <row r="28" spans="1:5">
      <c r="A28" s="47" t="s">
        <v>326</v>
      </c>
      <c r="B28" s="50" t="s">
        <v>8</v>
      </c>
      <c r="C28" s="50">
        <v>240</v>
      </c>
      <c r="D28" s="55">
        <f t="shared" si="0"/>
        <v>7.0457681355136073E-3</v>
      </c>
      <c r="E28" s="48">
        <f>+SUM($D$2:D28)</f>
        <v>0.19689986202037402</v>
      </c>
    </row>
    <row r="29" spans="1:5">
      <c r="A29" s="47" t="s">
        <v>327</v>
      </c>
      <c r="B29" s="50" t="s">
        <v>8</v>
      </c>
      <c r="C29" s="50">
        <v>240</v>
      </c>
      <c r="D29" s="55">
        <f t="shared" si="0"/>
        <v>7.0457681355136073E-3</v>
      </c>
      <c r="E29" s="48">
        <f>+SUM($D$2:D29)</f>
        <v>0.20394563015588763</v>
      </c>
    </row>
    <row r="30" spans="1:5">
      <c r="A30" s="47" t="s">
        <v>328</v>
      </c>
      <c r="B30" s="50" t="s">
        <v>8</v>
      </c>
      <c r="C30" s="50">
        <v>240</v>
      </c>
      <c r="D30" s="55">
        <f t="shared" si="0"/>
        <v>7.0457681355136073E-3</v>
      </c>
      <c r="E30" s="48">
        <f>+SUM($D$2:D30)</f>
        <v>0.21099139829140123</v>
      </c>
    </row>
    <row r="31" spans="1:5">
      <c r="A31" s="47" t="s">
        <v>329</v>
      </c>
      <c r="B31" s="50" t="s">
        <v>8</v>
      </c>
      <c r="C31" s="50">
        <v>240</v>
      </c>
      <c r="D31" s="55">
        <f t="shared" si="0"/>
        <v>7.0457681355136073E-3</v>
      </c>
      <c r="E31" s="48">
        <f>+SUM($D$2:D31)</f>
        <v>0.21803716642691484</v>
      </c>
    </row>
    <row r="32" spans="1:5">
      <c r="A32" s="47" t="s">
        <v>244</v>
      </c>
      <c r="B32" s="50" t="s">
        <v>8</v>
      </c>
      <c r="C32" s="50">
        <v>239</v>
      </c>
      <c r="D32" s="55">
        <f t="shared" si="0"/>
        <v>7.0164107682823005E-3</v>
      </c>
      <c r="E32" s="48">
        <f>+SUM($D$2:D32)</f>
        <v>0.22505357719519714</v>
      </c>
    </row>
    <row r="33" spans="1:5">
      <c r="A33" s="47" t="s">
        <v>315</v>
      </c>
      <c r="B33" s="50" t="s">
        <v>8</v>
      </c>
      <c r="C33" s="50">
        <v>239</v>
      </c>
      <c r="D33" s="55">
        <f t="shared" si="0"/>
        <v>7.0164107682823005E-3</v>
      </c>
      <c r="E33" s="48">
        <f>+SUM($D$2:D33)</f>
        <v>0.23206998796347944</v>
      </c>
    </row>
    <row r="34" spans="1:5">
      <c r="A34" s="47" t="s">
        <v>215</v>
      </c>
      <c r="B34" s="50" t="s">
        <v>8</v>
      </c>
      <c r="C34" s="50">
        <v>238</v>
      </c>
      <c r="D34" s="55">
        <f t="shared" si="0"/>
        <v>6.9870534010509936E-3</v>
      </c>
      <c r="E34" s="48">
        <f>+SUM($D$2:D34)</f>
        <v>0.23905704136453043</v>
      </c>
    </row>
    <row r="35" spans="1:5">
      <c r="A35" s="47" t="s">
        <v>242</v>
      </c>
      <c r="B35" s="50" t="s">
        <v>8</v>
      </c>
      <c r="C35" s="50">
        <v>238</v>
      </c>
      <c r="D35" s="55">
        <f t="shared" si="0"/>
        <v>6.9870534010509936E-3</v>
      </c>
      <c r="E35" s="48">
        <f>+SUM($D$2:D35)</f>
        <v>0.24604409476558142</v>
      </c>
    </row>
    <row r="36" spans="1:5">
      <c r="A36" s="47" t="s">
        <v>312</v>
      </c>
      <c r="B36" s="50" t="s">
        <v>8</v>
      </c>
      <c r="C36" s="50">
        <v>238</v>
      </c>
      <c r="D36" s="55">
        <f t="shared" si="0"/>
        <v>6.9870534010509936E-3</v>
      </c>
      <c r="E36" s="48">
        <f>+SUM($D$2:D36)</f>
        <v>0.25303114816663241</v>
      </c>
    </row>
    <row r="37" spans="1:5">
      <c r="A37" s="47" t="s">
        <v>240</v>
      </c>
      <c r="B37" s="50" t="s">
        <v>8</v>
      </c>
      <c r="C37" s="50">
        <v>237</v>
      </c>
      <c r="D37" s="55">
        <f t="shared" si="0"/>
        <v>6.9576960338196868E-3</v>
      </c>
      <c r="E37" s="48">
        <f>+SUM($D$2:D37)</f>
        <v>0.2599888442004521</v>
      </c>
    </row>
    <row r="38" spans="1:5">
      <c r="A38" s="47" t="s">
        <v>310</v>
      </c>
      <c r="B38" s="50" t="s">
        <v>8</v>
      </c>
      <c r="C38" s="50">
        <v>237</v>
      </c>
      <c r="D38" s="55">
        <f t="shared" si="0"/>
        <v>6.9576960338196868E-3</v>
      </c>
      <c r="E38" s="48">
        <f>+SUM($D$2:D38)</f>
        <v>0.26694654023427178</v>
      </c>
    </row>
    <row r="39" spans="1:5">
      <c r="A39" s="47" t="s">
        <v>211</v>
      </c>
      <c r="B39" s="50" t="s">
        <v>8</v>
      </c>
      <c r="C39" s="50">
        <v>236</v>
      </c>
      <c r="D39" s="55">
        <f t="shared" si="0"/>
        <v>6.92833866658838E-3</v>
      </c>
      <c r="E39" s="48">
        <f>+SUM($D$2:D39)</f>
        <v>0.27387487890086015</v>
      </c>
    </row>
    <row r="40" spans="1:5">
      <c r="A40" s="47" t="s">
        <v>308</v>
      </c>
      <c r="B40" s="50" t="s">
        <v>8</v>
      </c>
      <c r="C40" s="50">
        <v>236</v>
      </c>
      <c r="D40" s="55">
        <f t="shared" si="0"/>
        <v>6.92833866658838E-3</v>
      </c>
      <c r="E40" s="48">
        <f>+SUM($D$2:D40)</f>
        <v>0.28080321756744853</v>
      </c>
    </row>
    <row r="41" spans="1:5">
      <c r="A41" s="47" t="s">
        <v>235</v>
      </c>
      <c r="B41" s="50" t="s">
        <v>8</v>
      </c>
      <c r="C41" s="50">
        <v>235</v>
      </c>
      <c r="D41" s="55">
        <f t="shared" si="0"/>
        <v>6.8989812993570741E-3</v>
      </c>
      <c r="E41" s="48">
        <f>+SUM($D$2:D41)</f>
        <v>0.28770219886680559</v>
      </c>
    </row>
    <row r="42" spans="1:5">
      <c r="A42" s="47" t="s">
        <v>306</v>
      </c>
      <c r="B42" s="50" t="s">
        <v>8</v>
      </c>
      <c r="C42" s="50">
        <v>235</v>
      </c>
      <c r="D42" s="55">
        <f t="shared" si="0"/>
        <v>6.8989812993570741E-3</v>
      </c>
      <c r="E42" s="48">
        <f>+SUM($D$2:D42)</f>
        <v>0.29460118016616266</v>
      </c>
    </row>
    <row r="43" spans="1:5">
      <c r="A43" s="47" t="s">
        <v>207</v>
      </c>
      <c r="B43" s="50" t="s">
        <v>8</v>
      </c>
      <c r="C43" s="50">
        <v>234</v>
      </c>
      <c r="D43" s="55">
        <f t="shared" si="0"/>
        <v>6.8696239321257672E-3</v>
      </c>
      <c r="E43" s="48">
        <f>+SUM($D$2:D43)</f>
        <v>0.30147080409828841</v>
      </c>
    </row>
    <row r="44" spans="1:5">
      <c r="A44" s="47" t="s">
        <v>304</v>
      </c>
      <c r="B44" s="50" t="s">
        <v>8</v>
      </c>
      <c r="C44" s="50">
        <v>234</v>
      </c>
      <c r="D44" s="55">
        <f t="shared" si="0"/>
        <v>6.8696239321257672E-3</v>
      </c>
      <c r="E44" s="48">
        <f>+SUM($D$2:D44)</f>
        <v>0.30834042803041417</v>
      </c>
    </row>
    <row r="45" spans="1:5">
      <c r="A45" s="47" t="s">
        <v>302</v>
      </c>
      <c r="B45" s="50" t="s">
        <v>8</v>
      </c>
      <c r="C45" s="50">
        <v>233</v>
      </c>
      <c r="D45" s="55">
        <f t="shared" si="0"/>
        <v>6.8402665648944604E-3</v>
      </c>
      <c r="E45" s="48">
        <f>+SUM($D$2:D45)</f>
        <v>0.31518069459530862</v>
      </c>
    </row>
    <row r="46" spans="1:5">
      <c r="A46" s="47" t="s">
        <v>233</v>
      </c>
      <c r="B46" s="50" t="s">
        <v>8</v>
      </c>
      <c r="C46" s="50">
        <v>232</v>
      </c>
      <c r="D46" s="55">
        <f t="shared" si="0"/>
        <v>6.8109091976631536E-3</v>
      </c>
      <c r="E46" s="48">
        <f>+SUM($D$2:D46)</f>
        <v>0.32199160379297176</v>
      </c>
    </row>
    <row r="47" spans="1:5">
      <c r="A47" s="47" t="s">
        <v>270</v>
      </c>
      <c r="B47" s="50" t="s">
        <v>8</v>
      </c>
      <c r="C47" s="50">
        <v>232</v>
      </c>
      <c r="D47" s="55">
        <f t="shared" si="0"/>
        <v>6.8109091976631536E-3</v>
      </c>
      <c r="E47" s="48">
        <f>+SUM($D$2:D47)</f>
        <v>0.3288025129906349</v>
      </c>
    </row>
    <row r="48" spans="1:5">
      <c r="A48" s="47" t="s">
        <v>231</v>
      </c>
      <c r="B48" s="50" t="s">
        <v>8</v>
      </c>
      <c r="C48" s="50">
        <v>231</v>
      </c>
      <c r="D48" s="55">
        <f t="shared" si="0"/>
        <v>6.7815518304318468E-3</v>
      </c>
      <c r="E48" s="48">
        <f>+SUM($D$2:D48)</f>
        <v>0.33558406482106673</v>
      </c>
    </row>
    <row r="49" spans="1:5">
      <c r="A49" s="47" t="s">
        <v>298</v>
      </c>
      <c r="B49" s="50" t="s">
        <v>8</v>
      </c>
      <c r="C49" s="50">
        <v>231</v>
      </c>
      <c r="D49" s="55">
        <f t="shared" si="0"/>
        <v>6.7815518304318468E-3</v>
      </c>
      <c r="E49" s="48">
        <f>+SUM($D$2:D49)</f>
        <v>0.34236561665149856</v>
      </c>
    </row>
    <row r="50" spans="1:5">
      <c r="A50" s="47" t="s">
        <v>229</v>
      </c>
      <c r="B50" s="50" t="s">
        <v>8</v>
      </c>
      <c r="C50" s="50">
        <v>230</v>
      </c>
      <c r="D50" s="55">
        <f t="shared" si="0"/>
        <v>6.75219446320054E-3</v>
      </c>
      <c r="E50" s="48">
        <f>+SUM($D$2:D50)</f>
        <v>0.34911781111469908</v>
      </c>
    </row>
    <row r="51" spans="1:5">
      <c r="A51" s="47" t="s">
        <v>296</v>
      </c>
      <c r="B51" s="50" t="s">
        <v>8</v>
      </c>
      <c r="C51" s="50">
        <v>230</v>
      </c>
      <c r="D51" s="55">
        <f t="shared" si="0"/>
        <v>6.75219446320054E-3</v>
      </c>
      <c r="E51" s="48">
        <f>+SUM($D$2:D51)</f>
        <v>0.35587000557789961</v>
      </c>
    </row>
    <row r="52" spans="1:5">
      <c r="A52" s="47" t="s">
        <v>197</v>
      </c>
      <c r="B52" s="50" t="s">
        <v>8</v>
      </c>
      <c r="C52" s="50">
        <v>229</v>
      </c>
      <c r="D52" s="55">
        <f t="shared" si="0"/>
        <v>6.7228370959692332E-3</v>
      </c>
      <c r="E52" s="48">
        <f>+SUM($D$2:D52)</f>
        <v>0.36259284267386882</v>
      </c>
    </row>
    <row r="53" spans="1:5">
      <c r="A53" s="47" t="s">
        <v>227</v>
      </c>
      <c r="B53" s="50" t="s">
        <v>8</v>
      </c>
      <c r="C53" s="50">
        <v>229</v>
      </c>
      <c r="D53" s="55">
        <f t="shared" si="0"/>
        <v>6.7228370959692332E-3</v>
      </c>
      <c r="E53" s="48">
        <f>+SUM($D$2:D53)</f>
        <v>0.36931567976983803</v>
      </c>
    </row>
    <row r="54" spans="1:5">
      <c r="A54" s="47" t="s">
        <v>294</v>
      </c>
      <c r="B54" s="50" t="s">
        <v>8</v>
      </c>
      <c r="C54" s="50">
        <v>229</v>
      </c>
      <c r="D54" s="55">
        <f t="shared" si="0"/>
        <v>6.7228370959692332E-3</v>
      </c>
      <c r="E54" s="48">
        <f>+SUM($D$2:D54)</f>
        <v>0.37603851686580725</v>
      </c>
    </row>
    <row r="55" spans="1:5">
      <c r="A55" s="47" t="s">
        <v>225</v>
      </c>
      <c r="B55" s="50" t="s">
        <v>8</v>
      </c>
      <c r="C55" s="50">
        <v>228</v>
      </c>
      <c r="D55" s="55">
        <f t="shared" si="0"/>
        <v>6.6934797287379272E-3</v>
      </c>
      <c r="E55" s="48">
        <f>+SUM($D$2:D55)</f>
        <v>0.38273199659454515</v>
      </c>
    </row>
    <row r="56" spans="1:5">
      <c r="A56" s="47" t="s">
        <v>292</v>
      </c>
      <c r="B56" s="50" t="s">
        <v>8</v>
      </c>
      <c r="C56" s="50">
        <v>228</v>
      </c>
      <c r="D56" s="55">
        <f t="shared" si="0"/>
        <v>6.6934797287379272E-3</v>
      </c>
      <c r="E56" s="48">
        <f>+SUM($D$2:D56)</f>
        <v>0.38942547632328306</v>
      </c>
    </row>
    <row r="57" spans="1:5">
      <c r="A57" s="47" t="s">
        <v>223</v>
      </c>
      <c r="B57" s="50" t="s">
        <v>8</v>
      </c>
      <c r="C57" s="50">
        <v>227</v>
      </c>
      <c r="D57" s="55">
        <f t="shared" si="0"/>
        <v>6.6641223615066204E-3</v>
      </c>
      <c r="E57" s="48">
        <f>+SUM($D$2:D57)</f>
        <v>0.39608959868478966</v>
      </c>
    </row>
    <row r="58" spans="1:5">
      <c r="A58" s="47" t="s">
        <v>290</v>
      </c>
      <c r="B58" s="50" t="s">
        <v>8</v>
      </c>
      <c r="C58" s="50">
        <v>227</v>
      </c>
      <c r="D58" s="55">
        <f t="shared" si="0"/>
        <v>6.6641223615066204E-3</v>
      </c>
      <c r="E58" s="48">
        <f>+SUM($D$2:D58)</f>
        <v>0.40275372104629625</v>
      </c>
    </row>
    <row r="59" spans="1:5">
      <c r="A59" s="47" t="s">
        <v>191</v>
      </c>
      <c r="B59" s="50" t="s">
        <v>8</v>
      </c>
      <c r="C59" s="50">
        <v>226</v>
      </c>
      <c r="D59" s="55">
        <f t="shared" si="0"/>
        <v>6.6347649942753136E-3</v>
      </c>
      <c r="E59" s="48">
        <f>+SUM($D$2:D59)</f>
        <v>0.40938848604057154</v>
      </c>
    </row>
    <row r="60" spans="1:5">
      <c r="A60" s="47" t="s">
        <v>221</v>
      </c>
      <c r="B60" s="50" t="s">
        <v>8</v>
      </c>
      <c r="C60" s="50">
        <v>226</v>
      </c>
      <c r="D60" s="55">
        <f t="shared" si="0"/>
        <v>6.6347649942753136E-3</v>
      </c>
      <c r="E60" s="48">
        <f>+SUM($D$2:D60)</f>
        <v>0.41602325103484683</v>
      </c>
    </row>
    <row r="61" spans="1:5">
      <c r="A61" s="47" t="s">
        <v>288</v>
      </c>
      <c r="B61" s="50" t="s">
        <v>8</v>
      </c>
      <c r="C61" s="50">
        <v>226</v>
      </c>
      <c r="D61" s="55">
        <f t="shared" si="0"/>
        <v>6.6347649942753136E-3</v>
      </c>
      <c r="E61" s="48">
        <f>+SUM($D$2:D61)</f>
        <v>0.42265801602912212</v>
      </c>
    </row>
    <row r="62" spans="1:5">
      <c r="A62" s="47" t="s">
        <v>80</v>
      </c>
      <c r="B62" s="50" t="s">
        <v>8</v>
      </c>
      <c r="C62" s="50">
        <v>225</v>
      </c>
      <c r="D62" s="55">
        <f t="shared" si="0"/>
        <v>6.6054076270440068E-3</v>
      </c>
      <c r="E62" s="48">
        <f>+SUM($D$2:D62)</f>
        <v>0.4292634236561661</v>
      </c>
    </row>
    <row r="63" spans="1:5">
      <c r="A63" s="47" t="s">
        <v>286</v>
      </c>
      <c r="B63" s="50" t="s">
        <v>8</v>
      </c>
      <c r="C63" s="50">
        <v>225</v>
      </c>
      <c r="D63" s="55"/>
      <c r="E63" s="48"/>
    </row>
    <row r="64" spans="1:5">
      <c r="A64" s="47" t="s">
        <v>217</v>
      </c>
      <c r="B64" s="50" t="s">
        <v>8</v>
      </c>
      <c r="C64" s="50">
        <v>224</v>
      </c>
      <c r="D64" s="55"/>
      <c r="E64" s="48"/>
    </row>
    <row r="65" spans="1:5">
      <c r="A65" s="47" t="s">
        <v>284</v>
      </c>
      <c r="B65" s="50" t="s">
        <v>8</v>
      </c>
      <c r="C65" s="50">
        <v>224</v>
      </c>
      <c r="D65" s="55"/>
      <c r="E65" s="48"/>
    </row>
    <row r="66" spans="1:5">
      <c r="A66" s="47" t="s">
        <v>282</v>
      </c>
      <c r="B66" s="50" t="s">
        <v>8</v>
      </c>
      <c r="C66" s="50">
        <v>223</v>
      </c>
      <c r="D66" s="55"/>
      <c r="E66" s="48"/>
    </row>
    <row r="67" spans="1:5">
      <c r="A67" s="47" t="s">
        <v>213</v>
      </c>
      <c r="B67" s="50" t="s">
        <v>8</v>
      </c>
      <c r="C67" s="50">
        <v>222</v>
      </c>
      <c r="D67" s="55"/>
      <c r="E67" s="48"/>
    </row>
    <row r="68" spans="1:5">
      <c r="A68" s="47" t="s">
        <v>280</v>
      </c>
      <c r="B68" s="50" t="s">
        <v>8</v>
      </c>
      <c r="C68" s="50">
        <v>222</v>
      </c>
      <c r="D68" s="55"/>
      <c r="E68" s="48"/>
    </row>
    <row r="69" spans="1:5">
      <c r="A69" s="47" t="s">
        <v>278</v>
      </c>
      <c r="B69" s="50" t="s">
        <v>8</v>
      </c>
      <c r="C69" s="50">
        <v>221</v>
      </c>
      <c r="D69" s="55"/>
      <c r="E69" s="48"/>
    </row>
    <row r="70" spans="1:5">
      <c r="A70" s="47" t="s">
        <v>79</v>
      </c>
      <c r="B70" s="50" t="s">
        <v>8</v>
      </c>
      <c r="C70" s="50">
        <v>220</v>
      </c>
      <c r="D70" s="55"/>
      <c r="E70" s="48"/>
    </row>
    <row r="71" spans="1:5">
      <c r="A71" s="47" t="s">
        <v>209</v>
      </c>
      <c r="B71" s="50" t="s">
        <v>8</v>
      </c>
      <c r="C71" s="50">
        <v>220</v>
      </c>
      <c r="D71" s="55"/>
      <c r="E71" s="48"/>
    </row>
    <row r="72" spans="1:5">
      <c r="A72" s="47" t="s">
        <v>246</v>
      </c>
      <c r="B72" s="50" t="s">
        <v>8</v>
      </c>
      <c r="C72" s="50">
        <v>220</v>
      </c>
      <c r="D72" s="55"/>
      <c r="E72" s="48"/>
    </row>
    <row r="73" spans="1:5">
      <c r="A73" s="47" t="s">
        <v>276</v>
      </c>
      <c r="B73" s="50" t="s">
        <v>8</v>
      </c>
      <c r="C73" s="50">
        <v>220</v>
      </c>
      <c r="D73" s="55"/>
      <c r="E73" s="48"/>
    </row>
    <row r="74" spans="1:5">
      <c r="A74" s="47" t="s">
        <v>274</v>
      </c>
      <c r="B74" s="50" t="s">
        <v>8</v>
      </c>
      <c r="C74" s="50">
        <v>219</v>
      </c>
      <c r="D74" s="55"/>
      <c r="E74" s="48"/>
    </row>
    <row r="75" spans="1:5">
      <c r="A75" s="47" t="s">
        <v>205</v>
      </c>
      <c r="B75" s="50" t="s">
        <v>8</v>
      </c>
      <c r="C75" s="50">
        <v>218</v>
      </c>
      <c r="D75" s="55"/>
      <c r="E75" s="48"/>
    </row>
    <row r="76" spans="1:5">
      <c r="A76" s="47" t="s">
        <v>272</v>
      </c>
      <c r="B76" s="50" t="s">
        <v>8</v>
      </c>
      <c r="C76" s="50">
        <v>218</v>
      </c>
      <c r="D76" s="55"/>
      <c r="E76" s="48"/>
    </row>
    <row r="77" spans="1:5">
      <c r="A77" s="47" t="s">
        <v>203</v>
      </c>
      <c r="B77" s="50" t="s">
        <v>8</v>
      </c>
      <c r="C77" s="50">
        <v>217</v>
      </c>
      <c r="D77" s="55"/>
      <c r="E77" s="48"/>
    </row>
    <row r="78" spans="1:5">
      <c r="A78" s="47" t="s">
        <v>201</v>
      </c>
      <c r="B78" s="50" t="s">
        <v>8</v>
      </c>
      <c r="C78" s="50">
        <v>216</v>
      </c>
      <c r="D78" s="55"/>
      <c r="E78" s="48"/>
    </row>
    <row r="79" spans="1:5">
      <c r="A79" s="47" t="s">
        <v>237</v>
      </c>
      <c r="B79" s="50" t="s">
        <v>8</v>
      </c>
      <c r="C79" s="50">
        <v>216</v>
      </c>
      <c r="D79" s="55"/>
      <c r="E79" s="48"/>
    </row>
    <row r="80" spans="1:5">
      <c r="A80" s="47" t="s">
        <v>268</v>
      </c>
      <c r="B80" s="50" t="s">
        <v>8</v>
      </c>
      <c r="C80" s="50">
        <v>216</v>
      </c>
      <c r="D80" s="55"/>
      <c r="E80" s="48"/>
    </row>
    <row r="81" spans="1:5">
      <c r="A81" s="47" t="s">
        <v>199</v>
      </c>
      <c r="B81" s="50" t="s">
        <v>8</v>
      </c>
      <c r="C81" s="50">
        <v>215</v>
      </c>
      <c r="D81" s="55"/>
      <c r="E81" s="48"/>
    </row>
    <row r="82" spans="1:5">
      <c r="A82" s="47" t="s">
        <v>266</v>
      </c>
      <c r="B82" s="50" t="s">
        <v>8</v>
      </c>
      <c r="C82" s="50">
        <v>215</v>
      </c>
      <c r="D82" s="55"/>
      <c r="E82" s="48"/>
    </row>
    <row r="83" spans="1:5">
      <c r="A83" s="47" t="s">
        <v>165</v>
      </c>
      <c r="B83" s="50" t="s">
        <v>8</v>
      </c>
      <c r="C83" s="50">
        <v>213</v>
      </c>
      <c r="D83" s="55"/>
      <c r="E83" s="48"/>
    </row>
    <row r="84" spans="1:5">
      <c r="A84" s="47" t="s">
        <v>195</v>
      </c>
      <c r="B84" s="50" t="s">
        <v>8</v>
      </c>
      <c r="C84" s="50">
        <v>213</v>
      </c>
      <c r="D84" s="55"/>
      <c r="E84" s="48"/>
    </row>
    <row r="85" spans="1:5">
      <c r="A85" s="47" t="s">
        <v>193</v>
      </c>
      <c r="B85" s="50" t="s">
        <v>8</v>
      </c>
      <c r="C85" s="50">
        <v>212</v>
      </c>
      <c r="D85" s="55"/>
      <c r="E85" s="48"/>
    </row>
    <row r="86" spans="1:5">
      <c r="A86" s="47" t="s">
        <v>110</v>
      </c>
      <c r="B86" s="50" t="s">
        <v>8</v>
      </c>
      <c r="C86" s="50">
        <v>210</v>
      </c>
      <c r="D86" s="55"/>
      <c r="E86" s="48"/>
    </row>
    <row r="87" spans="1:5">
      <c r="A87" s="47" t="s">
        <v>127</v>
      </c>
      <c r="B87" s="50" t="s">
        <v>8</v>
      </c>
      <c r="C87" s="50">
        <v>210</v>
      </c>
      <c r="D87" s="55"/>
      <c r="E87" s="48"/>
    </row>
    <row r="88" spans="1:5">
      <c r="A88" s="47" t="s">
        <v>189</v>
      </c>
      <c r="B88" s="50" t="s">
        <v>8</v>
      </c>
      <c r="C88" s="50">
        <v>210</v>
      </c>
      <c r="D88" s="55"/>
      <c r="E88" s="48"/>
    </row>
    <row r="89" spans="1:5">
      <c r="A89" s="47" t="s">
        <v>187</v>
      </c>
      <c r="B89" s="50" t="s">
        <v>8</v>
      </c>
      <c r="C89" s="50">
        <v>209</v>
      </c>
      <c r="D89" s="55"/>
      <c r="E89" s="48"/>
    </row>
    <row r="90" spans="1:5">
      <c r="A90" s="47" t="s">
        <v>155</v>
      </c>
      <c r="B90" s="50" t="s">
        <v>8</v>
      </c>
      <c r="C90" s="50">
        <v>208</v>
      </c>
      <c r="D90" s="55"/>
      <c r="E90" s="48"/>
    </row>
    <row r="91" spans="1:5">
      <c r="A91" s="47" t="s">
        <v>185</v>
      </c>
      <c r="B91" s="50" t="s">
        <v>8</v>
      </c>
      <c r="C91" s="50">
        <v>208</v>
      </c>
      <c r="D91" s="55"/>
      <c r="E91" s="48"/>
    </row>
    <row r="92" spans="1:5">
      <c r="A92" s="47" t="s">
        <v>183</v>
      </c>
      <c r="B92" s="50" t="s">
        <v>8</v>
      </c>
      <c r="C92" s="50">
        <v>207</v>
      </c>
      <c r="D92" s="55"/>
      <c r="E92" s="48"/>
    </row>
    <row r="93" spans="1:5">
      <c r="A93" s="47" t="s">
        <v>181</v>
      </c>
      <c r="B93" s="50" t="s">
        <v>8</v>
      </c>
      <c r="C93" s="50">
        <v>206</v>
      </c>
      <c r="D93" s="55"/>
      <c r="E93" s="48"/>
    </row>
    <row r="94" spans="1:5">
      <c r="A94" s="47" t="s">
        <v>179</v>
      </c>
      <c r="B94" s="50" t="s">
        <v>8</v>
      </c>
      <c r="C94" s="50">
        <v>205</v>
      </c>
      <c r="D94" s="55"/>
      <c r="E94" s="48"/>
    </row>
    <row r="95" spans="1:5">
      <c r="A95" s="47" t="s">
        <v>177</v>
      </c>
      <c r="B95" s="50" t="s">
        <v>8</v>
      </c>
      <c r="C95" s="50">
        <v>204</v>
      </c>
      <c r="D95" s="55"/>
      <c r="E95" s="48"/>
    </row>
    <row r="96" spans="1:5">
      <c r="A96" s="47" t="s">
        <v>175</v>
      </c>
      <c r="B96" s="50" t="s">
        <v>8</v>
      </c>
      <c r="C96" s="50">
        <v>203</v>
      </c>
      <c r="D96" s="55"/>
      <c r="E96" s="48"/>
    </row>
    <row r="97" spans="1:5">
      <c r="A97" s="47" t="s">
        <v>143</v>
      </c>
      <c r="B97" s="50" t="s">
        <v>8</v>
      </c>
      <c r="C97" s="50">
        <v>202</v>
      </c>
      <c r="D97" s="55"/>
      <c r="E97" s="48"/>
    </row>
    <row r="98" spans="1:5">
      <c r="A98" s="47" t="s">
        <v>173</v>
      </c>
      <c r="B98" s="50" t="s">
        <v>8</v>
      </c>
      <c r="C98" s="50">
        <v>202</v>
      </c>
      <c r="D98" s="55"/>
      <c r="E98" s="48"/>
    </row>
    <row r="99" spans="1:5">
      <c r="A99" s="47" t="s">
        <v>171</v>
      </c>
      <c r="B99" s="50" t="s">
        <v>8</v>
      </c>
      <c r="C99" s="50">
        <v>201</v>
      </c>
      <c r="D99" s="55"/>
      <c r="E99" s="48"/>
    </row>
    <row r="100" spans="1:5">
      <c r="A100" s="47" t="s">
        <v>87</v>
      </c>
      <c r="B100" s="50" t="s">
        <v>8</v>
      </c>
      <c r="C100" s="50">
        <v>200</v>
      </c>
      <c r="D100" s="55"/>
      <c r="E100" s="48"/>
    </row>
    <row r="101" spans="1:5">
      <c r="A101" s="47" t="s">
        <v>169</v>
      </c>
      <c r="B101" s="50" t="s">
        <v>8</v>
      </c>
      <c r="C101" s="50">
        <v>200</v>
      </c>
      <c r="D101" s="55"/>
      <c r="E101" s="48"/>
    </row>
    <row r="102" spans="1:5">
      <c r="A102" s="47" t="s">
        <v>137</v>
      </c>
      <c r="B102" s="50" t="s">
        <v>8</v>
      </c>
      <c r="C102" s="50">
        <v>199</v>
      </c>
      <c r="D102" s="55"/>
      <c r="E102" s="48"/>
    </row>
    <row r="103" spans="1:5">
      <c r="A103" s="47" t="s">
        <v>167</v>
      </c>
      <c r="B103" s="50" t="s">
        <v>8</v>
      </c>
      <c r="C103" s="50">
        <v>199</v>
      </c>
      <c r="D103" s="55"/>
      <c r="E103" s="48"/>
    </row>
    <row r="104" spans="1:5">
      <c r="A104" s="47" t="s">
        <v>163</v>
      </c>
      <c r="B104" s="50" t="s">
        <v>8</v>
      </c>
      <c r="C104" s="50">
        <v>197</v>
      </c>
      <c r="D104" s="55"/>
      <c r="E104" s="48"/>
    </row>
    <row r="105" spans="1:5">
      <c r="A105" s="47" t="s">
        <v>161</v>
      </c>
      <c r="B105" s="50" t="s">
        <v>8</v>
      </c>
      <c r="C105" s="50">
        <v>196</v>
      </c>
      <c r="D105" s="55"/>
      <c r="E105" s="48"/>
    </row>
    <row r="106" spans="1:5">
      <c r="A106" s="47" t="s">
        <v>99</v>
      </c>
      <c r="B106" s="50" t="s">
        <v>8</v>
      </c>
      <c r="C106" s="50">
        <v>195</v>
      </c>
      <c r="D106" s="55"/>
      <c r="E106" s="48"/>
    </row>
    <row r="107" spans="1:5">
      <c r="A107" s="47" t="s">
        <v>101</v>
      </c>
      <c r="B107" s="50" t="s">
        <v>8</v>
      </c>
      <c r="C107" s="50">
        <v>195</v>
      </c>
      <c r="D107" s="55"/>
      <c r="E107" s="48"/>
    </row>
    <row r="108" spans="1:5">
      <c r="A108" s="47" t="s">
        <v>108</v>
      </c>
      <c r="B108" s="50" t="s">
        <v>8</v>
      </c>
      <c r="C108" s="50">
        <v>195</v>
      </c>
      <c r="D108" s="55"/>
      <c r="E108" s="48"/>
    </row>
    <row r="109" spans="1:5">
      <c r="A109" s="47" t="s">
        <v>117</v>
      </c>
      <c r="B109" s="50" t="s">
        <v>8</v>
      </c>
      <c r="C109" s="50">
        <v>195</v>
      </c>
      <c r="D109" s="55"/>
      <c r="E109" s="48"/>
    </row>
    <row r="110" spans="1:5">
      <c r="A110" s="47" t="s">
        <v>125</v>
      </c>
      <c r="B110" s="50" t="s">
        <v>8</v>
      </c>
      <c r="C110" s="50">
        <v>195</v>
      </c>
      <c r="D110" s="55"/>
      <c r="E110" s="48"/>
    </row>
    <row r="111" spans="1:5">
      <c r="A111" s="47" t="s">
        <v>159</v>
      </c>
      <c r="B111" s="50" t="s">
        <v>8</v>
      </c>
      <c r="C111" s="50">
        <v>195</v>
      </c>
      <c r="D111" s="55"/>
      <c r="E111" s="48"/>
    </row>
    <row r="112" spans="1:5">
      <c r="A112" s="47" t="s">
        <v>157</v>
      </c>
      <c r="B112" s="50" t="s">
        <v>8</v>
      </c>
      <c r="C112" s="50">
        <v>194</v>
      </c>
      <c r="D112" s="55"/>
      <c r="E112" s="48"/>
    </row>
    <row r="113" spans="1:5">
      <c r="A113" s="47" t="s">
        <v>153</v>
      </c>
      <c r="B113" s="50" t="s">
        <v>8</v>
      </c>
      <c r="C113" s="50">
        <v>192</v>
      </c>
      <c r="D113" s="55"/>
      <c r="E113" s="48"/>
    </row>
    <row r="114" spans="1:5">
      <c r="A114" s="47" t="s">
        <v>151</v>
      </c>
      <c r="B114" s="50" t="s">
        <v>8</v>
      </c>
      <c r="C114" s="50">
        <v>191</v>
      </c>
      <c r="D114" s="55"/>
      <c r="E114" s="48"/>
    </row>
    <row r="115" spans="1:5">
      <c r="A115" s="47" t="s">
        <v>98</v>
      </c>
      <c r="B115" s="50" t="s">
        <v>8</v>
      </c>
      <c r="C115" s="50">
        <v>190</v>
      </c>
      <c r="D115" s="55"/>
      <c r="E115" s="48"/>
    </row>
    <row r="116" spans="1:5">
      <c r="A116" s="47" t="s">
        <v>116</v>
      </c>
      <c r="B116" s="50" t="s">
        <v>8</v>
      </c>
      <c r="C116" s="50">
        <v>190</v>
      </c>
      <c r="D116" s="55"/>
      <c r="E116" s="48"/>
    </row>
    <row r="117" spans="1:5">
      <c r="A117" s="47" t="s">
        <v>119</v>
      </c>
      <c r="B117" s="50" t="s">
        <v>8</v>
      </c>
      <c r="C117" s="50">
        <v>190</v>
      </c>
      <c r="D117" s="55"/>
      <c r="E117" s="48"/>
    </row>
    <row r="118" spans="1:5">
      <c r="A118" s="47" t="s">
        <v>149</v>
      </c>
      <c r="B118" s="50" t="s">
        <v>8</v>
      </c>
      <c r="C118" s="50">
        <v>190</v>
      </c>
      <c r="D118" s="55"/>
      <c r="E118" s="48"/>
    </row>
    <row r="119" spans="1:5">
      <c r="A119" s="47" t="s">
        <v>147</v>
      </c>
      <c r="B119" s="50" t="s">
        <v>8</v>
      </c>
      <c r="C119" s="50">
        <v>189</v>
      </c>
      <c r="D119" s="55"/>
      <c r="E119" s="48"/>
    </row>
    <row r="120" spans="1:5">
      <c r="A120" s="47" t="s">
        <v>145</v>
      </c>
      <c r="B120" s="50" t="s">
        <v>8</v>
      </c>
      <c r="C120" s="50">
        <v>188</v>
      </c>
      <c r="D120" s="55"/>
      <c r="E120" s="48"/>
    </row>
    <row r="121" spans="1:5">
      <c r="A121" s="47" t="s">
        <v>141</v>
      </c>
      <c r="B121" s="50" t="s">
        <v>8</v>
      </c>
      <c r="C121" s="50">
        <v>186</v>
      </c>
      <c r="D121" s="55"/>
      <c r="E121" s="48"/>
    </row>
    <row r="122" spans="1:5">
      <c r="A122" s="47" t="s">
        <v>77</v>
      </c>
      <c r="B122" s="50" t="s">
        <v>8</v>
      </c>
      <c r="C122" s="50">
        <v>185</v>
      </c>
      <c r="D122" s="55"/>
      <c r="E122" s="48"/>
    </row>
    <row r="123" spans="1:5">
      <c r="A123" s="47" t="s">
        <v>96</v>
      </c>
      <c r="B123" s="50" t="s">
        <v>8</v>
      </c>
      <c r="C123" s="50">
        <v>185</v>
      </c>
      <c r="D123" s="55"/>
      <c r="E123" s="48"/>
    </row>
    <row r="124" spans="1:5">
      <c r="A124" s="47" t="s">
        <v>105</v>
      </c>
      <c r="B124" s="50" t="s">
        <v>8</v>
      </c>
      <c r="C124" s="50">
        <v>185</v>
      </c>
      <c r="D124" s="55"/>
      <c r="E124" s="48"/>
    </row>
    <row r="125" spans="1:5">
      <c r="A125" s="47" t="s">
        <v>114</v>
      </c>
      <c r="B125" s="50" t="s">
        <v>8</v>
      </c>
      <c r="C125" s="50">
        <v>185</v>
      </c>
      <c r="D125" s="55"/>
      <c r="E125" s="48"/>
    </row>
    <row r="126" spans="1:5">
      <c r="A126" s="47" t="s">
        <v>139</v>
      </c>
      <c r="B126" s="50" t="s">
        <v>8</v>
      </c>
      <c r="C126" s="50">
        <v>185</v>
      </c>
      <c r="D126" s="55"/>
      <c r="E126" s="48"/>
    </row>
    <row r="127" spans="1:5">
      <c r="A127" s="47" t="s">
        <v>135</v>
      </c>
      <c r="B127" s="50" t="s">
        <v>8</v>
      </c>
      <c r="C127" s="50">
        <v>183</v>
      </c>
      <c r="D127" s="55"/>
      <c r="E127" s="48"/>
    </row>
    <row r="128" spans="1:5">
      <c r="A128" s="47" t="s">
        <v>133</v>
      </c>
      <c r="B128" s="50" t="s">
        <v>8</v>
      </c>
      <c r="C128" s="50">
        <v>182</v>
      </c>
      <c r="D128" s="55"/>
      <c r="E128" s="48"/>
    </row>
    <row r="129" spans="1:5">
      <c r="A129" s="47" t="s">
        <v>131</v>
      </c>
      <c r="B129" s="50" t="s">
        <v>8</v>
      </c>
      <c r="C129" s="50">
        <v>181</v>
      </c>
      <c r="D129" s="55"/>
      <c r="E129" s="48"/>
    </row>
    <row r="130" spans="1:5">
      <c r="A130" s="47" t="s">
        <v>81</v>
      </c>
      <c r="B130" s="50" t="s">
        <v>8</v>
      </c>
      <c r="C130" s="50">
        <v>180</v>
      </c>
      <c r="D130" s="55"/>
      <c r="E130" s="48"/>
    </row>
    <row r="131" spans="1:5">
      <c r="A131" s="47" t="s">
        <v>82</v>
      </c>
      <c r="B131" s="50" t="s">
        <v>8</v>
      </c>
      <c r="C131" s="50">
        <v>180</v>
      </c>
      <c r="D131" s="55"/>
      <c r="E131" s="48"/>
    </row>
    <row r="132" spans="1:5">
      <c r="A132" s="47" t="s">
        <v>95</v>
      </c>
      <c r="B132" s="50" t="s">
        <v>8</v>
      </c>
      <c r="C132" s="50">
        <v>180</v>
      </c>
      <c r="D132" s="55"/>
      <c r="E132" s="48"/>
    </row>
    <row r="133" spans="1:5">
      <c r="A133" s="47" t="s">
        <v>100</v>
      </c>
      <c r="B133" s="50" t="s">
        <v>8</v>
      </c>
      <c r="C133" s="50">
        <v>180</v>
      </c>
      <c r="D133" s="55"/>
      <c r="E133" s="48"/>
    </row>
    <row r="134" spans="1:5">
      <c r="A134" s="47" t="s">
        <v>102</v>
      </c>
      <c r="B134" s="50" t="s">
        <v>8</v>
      </c>
      <c r="C134" s="50">
        <v>180</v>
      </c>
      <c r="D134" s="55"/>
      <c r="E134" s="48"/>
    </row>
    <row r="135" spans="1:5">
      <c r="A135" s="47" t="s">
        <v>109</v>
      </c>
      <c r="B135" s="50" t="s">
        <v>8</v>
      </c>
      <c r="C135" s="50">
        <v>180</v>
      </c>
      <c r="D135" s="55"/>
      <c r="E135" s="48"/>
    </row>
    <row r="136" spans="1:5">
      <c r="A136" s="47" t="s">
        <v>118</v>
      </c>
      <c r="B136" s="50" t="s">
        <v>8</v>
      </c>
      <c r="C136" s="50">
        <v>180</v>
      </c>
      <c r="D136" s="55"/>
      <c r="E136" s="48"/>
    </row>
    <row r="137" spans="1:5">
      <c r="A137" s="47" t="s">
        <v>122</v>
      </c>
      <c r="B137" s="50" t="s">
        <v>8</v>
      </c>
      <c r="C137" s="50">
        <v>180</v>
      </c>
      <c r="D137" s="55"/>
      <c r="E137" s="48"/>
    </row>
    <row r="138" spans="1:5">
      <c r="A138" s="47" t="s">
        <v>126</v>
      </c>
      <c r="B138" s="50" t="s">
        <v>8</v>
      </c>
      <c r="C138" s="50">
        <v>180</v>
      </c>
      <c r="D138" s="55"/>
      <c r="E138" s="48"/>
    </row>
    <row r="139" spans="1:5">
      <c r="A139" s="47" t="s">
        <v>129</v>
      </c>
      <c r="B139" s="50" t="s">
        <v>8</v>
      </c>
      <c r="C139" s="50">
        <v>180</v>
      </c>
      <c r="D139" s="55"/>
      <c r="E139" s="48"/>
    </row>
    <row r="140" spans="1:5">
      <c r="A140" s="47" t="s">
        <v>130</v>
      </c>
      <c r="B140" s="50" t="s">
        <v>8</v>
      </c>
      <c r="C140" s="50">
        <v>180</v>
      </c>
      <c r="D140" s="55"/>
      <c r="E140" s="48"/>
    </row>
    <row r="141" spans="1:5">
      <c r="A141" s="47" t="s">
        <v>104</v>
      </c>
      <c r="B141" s="50" t="s">
        <v>8</v>
      </c>
      <c r="C141" s="50">
        <v>175</v>
      </c>
      <c r="D141" s="55"/>
      <c r="E141" s="48"/>
    </row>
    <row r="142" spans="1:5">
      <c r="A142" s="47" t="s">
        <v>107</v>
      </c>
      <c r="B142" s="50" t="s">
        <v>8</v>
      </c>
      <c r="C142" s="50">
        <v>175</v>
      </c>
      <c r="D142" s="55"/>
      <c r="E142" s="48"/>
    </row>
    <row r="143" spans="1:5">
      <c r="A143" s="47" t="s">
        <v>113</v>
      </c>
      <c r="B143" s="50" t="s">
        <v>8</v>
      </c>
      <c r="C143" s="50">
        <v>175</v>
      </c>
      <c r="D143" s="55"/>
      <c r="E143" s="48"/>
    </row>
    <row r="144" spans="1:5">
      <c r="A144" s="47" t="s">
        <v>120</v>
      </c>
      <c r="B144" s="50" t="s">
        <v>8</v>
      </c>
      <c r="C144" s="50">
        <v>175</v>
      </c>
      <c r="D144" s="55"/>
      <c r="E144" s="48"/>
    </row>
    <row r="145" spans="1:5">
      <c r="A145" s="47" t="s">
        <v>121</v>
      </c>
      <c r="B145" s="50" t="s">
        <v>8</v>
      </c>
      <c r="C145" s="50">
        <v>175</v>
      </c>
      <c r="D145" s="55"/>
      <c r="E145" s="48"/>
    </row>
    <row r="146" spans="1:5">
      <c r="A146" s="47" t="s">
        <v>124</v>
      </c>
      <c r="B146" s="50" t="s">
        <v>8</v>
      </c>
      <c r="C146" s="50">
        <v>175</v>
      </c>
      <c r="D146" s="55"/>
      <c r="E146" s="48"/>
    </row>
    <row r="147" spans="1:5">
      <c r="A147" s="47" t="s">
        <v>72</v>
      </c>
      <c r="B147" s="50" t="s">
        <v>8</v>
      </c>
      <c r="C147" s="50">
        <v>165</v>
      </c>
      <c r="D147" s="55"/>
      <c r="E147" s="48"/>
    </row>
    <row r="148" spans="1:5">
      <c r="A148" s="47" t="s">
        <v>93</v>
      </c>
      <c r="B148" s="50" t="s">
        <v>8</v>
      </c>
      <c r="C148" s="50">
        <v>165</v>
      </c>
      <c r="D148" s="55"/>
      <c r="E148" s="48"/>
    </row>
    <row r="149" spans="1:5">
      <c r="A149" s="47" t="s">
        <v>97</v>
      </c>
      <c r="B149" s="50" t="s">
        <v>8</v>
      </c>
      <c r="C149" s="50">
        <v>165</v>
      </c>
      <c r="D149" s="55"/>
      <c r="E149" s="48"/>
    </row>
    <row r="150" spans="1:5">
      <c r="A150" s="47" t="s">
        <v>103</v>
      </c>
      <c r="B150" s="50" t="s">
        <v>8</v>
      </c>
      <c r="C150" s="50">
        <v>165</v>
      </c>
      <c r="D150" s="55"/>
      <c r="E150" s="48"/>
    </row>
    <row r="151" spans="1:5">
      <c r="A151" s="47" t="s">
        <v>106</v>
      </c>
      <c r="B151" s="50" t="s">
        <v>8</v>
      </c>
      <c r="C151" s="50">
        <v>165</v>
      </c>
      <c r="D151" s="55"/>
      <c r="E151" s="48"/>
    </row>
    <row r="152" spans="1:5">
      <c r="A152" s="47" t="s">
        <v>111</v>
      </c>
      <c r="B152" s="50" t="s">
        <v>8</v>
      </c>
      <c r="C152" s="50">
        <v>165</v>
      </c>
      <c r="D152" s="55"/>
      <c r="E152" s="48"/>
    </row>
    <row r="153" spans="1:5">
      <c r="A153" s="47" t="s">
        <v>115</v>
      </c>
      <c r="B153" s="50" t="s">
        <v>8</v>
      </c>
      <c r="C153" s="50">
        <v>165</v>
      </c>
      <c r="D153" s="55"/>
      <c r="E153" s="48"/>
    </row>
    <row r="154" spans="1:5">
      <c r="A154" s="47" t="s">
        <v>123</v>
      </c>
      <c r="B154" s="50" t="s">
        <v>8</v>
      </c>
      <c r="C154" s="50">
        <v>165</v>
      </c>
      <c r="D154" s="55"/>
      <c r="E154" s="48"/>
    </row>
    <row r="155" spans="1:5">
      <c r="A155" s="47" t="s">
        <v>128</v>
      </c>
      <c r="B155" s="50" t="s">
        <v>8</v>
      </c>
      <c r="C155" s="50">
        <v>165</v>
      </c>
      <c r="D155" s="55"/>
      <c r="E155" s="48"/>
    </row>
    <row r="156" spans="1:5">
      <c r="A156" s="47" t="s">
        <v>90</v>
      </c>
      <c r="B156" s="50" t="s">
        <v>8</v>
      </c>
      <c r="C156" s="50">
        <v>160</v>
      </c>
      <c r="D156" s="55"/>
      <c r="E156" s="48"/>
    </row>
    <row r="157" spans="1:5">
      <c r="A157" s="47" t="s">
        <v>94</v>
      </c>
      <c r="B157" s="50" t="s">
        <v>8</v>
      </c>
      <c r="C157" s="50">
        <v>160</v>
      </c>
      <c r="D157" s="55"/>
      <c r="E157" s="48"/>
    </row>
    <row r="158" spans="1:5">
      <c r="A158" s="47" t="s">
        <v>88</v>
      </c>
      <c r="B158" s="50" t="s">
        <v>8</v>
      </c>
      <c r="C158" s="50">
        <v>155</v>
      </c>
      <c r="D158" s="55"/>
      <c r="E158" s="48"/>
    </row>
    <row r="159" spans="1:5">
      <c r="A159" s="47" t="s">
        <v>86</v>
      </c>
      <c r="B159" s="50" t="s">
        <v>8</v>
      </c>
      <c r="C159" s="50">
        <v>150</v>
      </c>
      <c r="D159" s="55"/>
      <c r="E159" s="48"/>
    </row>
    <row r="160" spans="1:5">
      <c r="A160" s="47" t="s">
        <v>89</v>
      </c>
      <c r="B160" s="50" t="s">
        <v>5</v>
      </c>
      <c r="C160" s="50">
        <v>145</v>
      </c>
      <c r="D160" s="55"/>
      <c r="E160" s="48"/>
    </row>
    <row r="161" spans="1:5">
      <c r="A161" s="47" t="s">
        <v>91</v>
      </c>
      <c r="B161" s="50" t="s">
        <v>5</v>
      </c>
      <c r="C161" s="50">
        <v>140</v>
      </c>
      <c r="D161" s="55"/>
      <c r="E161" s="48"/>
    </row>
    <row r="162" spans="1:5">
      <c r="A162" s="47" t="s">
        <v>112</v>
      </c>
      <c r="B162" s="50" t="s">
        <v>5</v>
      </c>
      <c r="C162" s="50">
        <v>140</v>
      </c>
      <c r="D162" s="55"/>
      <c r="E162" s="48"/>
    </row>
    <row r="163" spans="1:5">
      <c r="A163" s="47" t="s">
        <v>83</v>
      </c>
      <c r="B163" s="50" t="s">
        <v>5</v>
      </c>
      <c r="C163" s="50">
        <v>115</v>
      </c>
      <c r="D163" s="55"/>
      <c r="E163" s="48"/>
    </row>
    <row r="164" spans="1:5">
      <c r="A164" s="47" t="s">
        <v>85</v>
      </c>
      <c r="B164" s="50" t="s">
        <v>5</v>
      </c>
      <c r="C164" s="50">
        <v>115</v>
      </c>
      <c r="D164" s="55"/>
      <c r="E164" s="48"/>
    </row>
  </sheetData>
  <autoFilter ref="A1:C1" xr:uid="{00000000-0009-0000-0000-000001000000}">
    <sortState xmlns:xlrd2="http://schemas.microsoft.com/office/spreadsheetml/2017/richdata2" ref="A2:C164">
      <sortCondition descending="1" ref="C1"/>
    </sortState>
  </autoFilter>
  <sortState xmlns:xlrd2="http://schemas.microsoft.com/office/spreadsheetml/2017/richdata2" ref="A2:C31">
    <sortCondition descending="1" ref="C2:C31"/>
  </sortState>
  <conditionalFormatting sqref="B2">
    <cfRule type="containsText" dxfId="214" priority="69" operator="containsText" text="C">
      <formula>NOT(ISERROR(SEARCH("C",B2)))</formula>
    </cfRule>
    <cfRule type="containsText" dxfId="213" priority="70" operator="containsText" text="B">
      <formula>NOT(ISERROR(SEARCH("B",B2)))</formula>
    </cfRule>
    <cfRule type="cellIs" dxfId="212" priority="71" operator="equal">
      <formula>"A"</formula>
    </cfRule>
    <cfRule type="containsText" dxfId="211" priority="72" operator="containsText" text="AA">
      <formula>NOT(ISERROR(SEARCH("AA",B2)))</formula>
    </cfRule>
  </conditionalFormatting>
  <conditionalFormatting sqref="D1:E1">
    <cfRule type="duplicateValues" dxfId="210" priority="184"/>
  </conditionalFormatting>
  <conditionalFormatting sqref="B3:B164">
    <cfRule type="containsText" dxfId="209" priority="1" operator="containsText" text="C">
      <formula>NOT(ISERROR(SEARCH("C",B3)))</formula>
    </cfRule>
    <cfRule type="containsText" dxfId="208" priority="2" operator="containsText" text="B">
      <formula>NOT(ISERROR(SEARCH("B",B3)))</formula>
    </cfRule>
    <cfRule type="cellIs" dxfId="207" priority="3" operator="equal">
      <formula>"A"</formula>
    </cfRule>
    <cfRule type="containsText" dxfId="206" priority="4" operator="containsText" text="AA">
      <formula>NOT(ISERROR(SEARCH("AA",B3)))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7299-4BA5-4F33-9C9A-166FB8799499}">
  <dimension ref="A1:E164"/>
  <sheetViews>
    <sheetView topLeftCell="A148" zoomScale="130" zoomScaleNormal="130" workbookViewId="0">
      <selection activeCell="D170" sqref="D170"/>
    </sheetView>
  </sheetViews>
  <sheetFormatPr defaultRowHeight="14.45"/>
  <cols>
    <col min="1" max="1" width="22.7109375" bestFit="1" customWidth="1"/>
    <col min="2" max="2" width="21.28515625" style="66" bestFit="1" customWidth="1"/>
    <col min="3" max="3" width="25.85546875" style="66" bestFit="1" customWidth="1"/>
    <col min="4" max="4" width="18.85546875" style="66" bestFit="1" customWidth="1"/>
    <col min="5" max="5" width="18" style="66" bestFit="1" customWidth="1"/>
  </cols>
  <sheetData>
    <row r="1" spans="1:5">
      <c r="A1" s="31" t="s">
        <v>24</v>
      </c>
      <c r="B1" s="64" t="s">
        <v>334</v>
      </c>
      <c r="C1" s="64" t="s">
        <v>335</v>
      </c>
      <c r="D1" s="64" t="s">
        <v>336</v>
      </c>
      <c r="E1" s="64" t="s">
        <v>337</v>
      </c>
    </row>
    <row r="2" spans="1:5">
      <c r="A2" s="47" t="s">
        <v>49</v>
      </c>
      <c r="B2" s="47" t="s">
        <v>65</v>
      </c>
      <c r="C2" s="47" t="s">
        <v>67</v>
      </c>
      <c r="D2" s="63" t="s">
        <v>338</v>
      </c>
      <c r="E2" s="63" t="s">
        <v>339</v>
      </c>
    </row>
    <row r="3" spans="1:5">
      <c r="A3" s="47" t="s">
        <v>65</v>
      </c>
      <c r="B3" s="47" t="s">
        <v>67</v>
      </c>
      <c r="C3" s="47" t="s">
        <v>49</v>
      </c>
      <c r="D3" s="63" t="s">
        <v>338</v>
      </c>
      <c r="E3" s="63" t="s">
        <v>339</v>
      </c>
    </row>
    <row r="4" spans="1:5">
      <c r="A4" s="47" t="s">
        <v>67</v>
      </c>
      <c r="B4" s="47" t="s">
        <v>65</v>
      </c>
      <c r="C4" s="47" t="s">
        <v>49</v>
      </c>
      <c r="D4" s="63" t="s">
        <v>338</v>
      </c>
      <c r="E4" s="63" t="s">
        <v>339</v>
      </c>
    </row>
    <row r="5" spans="1:5">
      <c r="A5" s="47" t="s">
        <v>68</v>
      </c>
      <c r="B5" s="47" t="s">
        <v>71</v>
      </c>
      <c r="C5" s="63" t="s">
        <v>340</v>
      </c>
      <c r="D5" s="63" t="s">
        <v>338</v>
      </c>
      <c r="E5" s="63" t="s">
        <v>339</v>
      </c>
    </row>
    <row r="6" spans="1:5">
      <c r="A6" s="47" t="s">
        <v>71</v>
      </c>
      <c r="B6" s="47" t="s">
        <v>68</v>
      </c>
      <c r="C6" s="63" t="s">
        <v>340</v>
      </c>
      <c r="D6" s="63" t="s">
        <v>338</v>
      </c>
      <c r="E6" s="63" t="s">
        <v>339</v>
      </c>
    </row>
    <row r="7" spans="1:5">
      <c r="A7" s="47" t="s">
        <v>72</v>
      </c>
      <c r="B7" s="63" t="s">
        <v>341</v>
      </c>
      <c r="C7" s="63" t="s">
        <v>342</v>
      </c>
      <c r="D7" s="63" t="s">
        <v>338</v>
      </c>
      <c r="E7" s="63" t="s">
        <v>339</v>
      </c>
    </row>
    <row r="8" spans="1:5">
      <c r="A8" s="47" t="s">
        <v>77</v>
      </c>
      <c r="B8" s="47" t="s">
        <v>68</v>
      </c>
      <c r="C8" s="47" t="s">
        <v>71</v>
      </c>
      <c r="D8" s="63"/>
      <c r="E8" s="63"/>
    </row>
    <row r="9" spans="1:5">
      <c r="A9" s="47" t="s">
        <v>79</v>
      </c>
      <c r="B9" s="47" t="s">
        <v>80</v>
      </c>
      <c r="C9" s="47" t="s">
        <v>81</v>
      </c>
      <c r="D9" s="47" t="s">
        <v>82</v>
      </c>
      <c r="E9" s="63"/>
    </row>
    <row r="10" spans="1:5">
      <c r="A10" s="47" t="s">
        <v>80</v>
      </c>
      <c r="B10" s="47" t="s">
        <v>81</v>
      </c>
      <c r="C10" s="47" t="s">
        <v>82</v>
      </c>
      <c r="D10" s="47" t="s">
        <v>79</v>
      </c>
      <c r="E10" s="63"/>
    </row>
    <row r="11" spans="1:5">
      <c r="A11" s="47" t="s">
        <v>81</v>
      </c>
      <c r="B11" s="47" t="s">
        <v>79</v>
      </c>
      <c r="C11" s="47" t="s">
        <v>80</v>
      </c>
      <c r="D11" s="47" t="s">
        <v>82</v>
      </c>
      <c r="E11" s="63"/>
    </row>
    <row r="12" spans="1:5">
      <c r="A12" s="47" t="s">
        <v>82</v>
      </c>
      <c r="B12" s="47" t="s">
        <v>79</v>
      </c>
      <c r="C12" s="47" t="s">
        <v>80</v>
      </c>
      <c r="D12" s="47" t="s">
        <v>81</v>
      </c>
      <c r="E12" s="63"/>
    </row>
    <row r="13" spans="1:5">
      <c r="A13" s="47" t="s">
        <v>83</v>
      </c>
      <c r="B13" s="47" t="s">
        <v>85</v>
      </c>
      <c r="C13" s="47" t="s">
        <v>86</v>
      </c>
      <c r="D13" s="63"/>
      <c r="E13" s="63"/>
    </row>
    <row r="14" spans="1:5">
      <c r="A14" s="47" t="s">
        <v>85</v>
      </c>
      <c r="B14" s="47" t="s">
        <v>83</v>
      </c>
      <c r="C14" s="47" t="s">
        <v>86</v>
      </c>
      <c r="D14" s="47"/>
      <c r="E14" s="63"/>
    </row>
    <row r="15" spans="1:5">
      <c r="A15" s="47" t="s">
        <v>86</v>
      </c>
      <c r="B15" s="47" t="s">
        <v>83</v>
      </c>
      <c r="C15" s="47" t="s">
        <v>85</v>
      </c>
      <c r="D15" s="63"/>
      <c r="E15" s="63"/>
    </row>
    <row r="16" spans="1:5">
      <c r="A16" s="47" t="s">
        <v>87</v>
      </c>
      <c r="B16" s="47" t="s">
        <v>88</v>
      </c>
      <c r="C16" s="47" t="s">
        <v>122</v>
      </c>
      <c r="D16" s="47" t="s">
        <v>123</v>
      </c>
      <c r="E16" s="47" t="s">
        <v>129</v>
      </c>
    </row>
    <row r="17" spans="1:5">
      <c r="A17" s="47" t="s">
        <v>88</v>
      </c>
      <c r="B17" s="47" t="s">
        <v>87</v>
      </c>
      <c r="C17" s="63" t="s">
        <v>122</v>
      </c>
      <c r="D17" s="63" t="s">
        <v>123</v>
      </c>
      <c r="E17" s="63" t="s">
        <v>129</v>
      </c>
    </row>
    <row r="18" spans="1:5">
      <c r="A18" s="47" t="s">
        <v>89</v>
      </c>
      <c r="B18" s="47" t="s">
        <v>94</v>
      </c>
      <c r="C18" s="47" t="s">
        <v>95</v>
      </c>
      <c r="D18" s="47" t="s">
        <v>99</v>
      </c>
      <c r="E18" s="47" t="s">
        <v>100</v>
      </c>
    </row>
    <row r="19" spans="1:5">
      <c r="A19" s="47" t="s">
        <v>90</v>
      </c>
      <c r="B19" s="47" t="s">
        <v>147</v>
      </c>
      <c r="C19" s="47" t="s">
        <v>151</v>
      </c>
      <c r="D19" s="47" t="s">
        <v>153</v>
      </c>
      <c r="E19" s="63" t="s">
        <v>163</v>
      </c>
    </row>
    <row r="20" spans="1:5">
      <c r="A20" s="47" t="s">
        <v>91</v>
      </c>
      <c r="B20" s="47" t="s">
        <v>103</v>
      </c>
      <c r="C20" s="47" t="s">
        <v>111</v>
      </c>
      <c r="D20" s="63" t="s">
        <v>117</v>
      </c>
      <c r="E20" s="65"/>
    </row>
    <row r="21" spans="1:5">
      <c r="A21" s="47" t="s">
        <v>93</v>
      </c>
      <c r="B21" s="63" t="s">
        <v>341</v>
      </c>
      <c r="C21" s="63"/>
      <c r="D21" s="63"/>
      <c r="E21" s="63"/>
    </row>
    <row r="22" spans="1:5">
      <c r="A22" s="47" t="s">
        <v>94</v>
      </c>
      <c r="B22" s="47" t="s">
        <v>99</v>
      </c>
      <c r="C22" s="47" t="s">
        <v>100</v>
      </c>
      <c r="D22" s="47" t="s">
        <v>104</v>
      </c>
      <c r="E22" s="47" t="s">
        <v>105</v>
      </c>
    </row>
    <row r="23" spans="1:5">
      <c r="A23" s="47" t="s">
        <v>95</v>
      </c>
      <c r="B23" s="47" t="s">
        <v>99</v>
      </c>
      <c r="C23" s="47" t="s">
        <v>100</v>
      </c>
      <c r="D23" s="47" t="s">
        <v>104</v>
      </c>
      <c r="E23" s="47" t="s">
        <v>105</v>
      </c>
    </row>
    <row r="24" spans="1:5">
      <c r="A24" s="47" t="s">
        <v>96</v>
      </c>
      <c r="B24" s="63" t="s">
        <v>341</v>
      </c>
      <c r="C24" s="63"/>
      <c r="D24" s="63"/>
      <c r="E24" s="63"/>
    </row>
    <row r="25" spans="1:5">
      <c r="A25" s="47" t="s">
        <v>97</v>
      </c>
      <c r="B25" s="63" t="s">
        <v>341</v>
      </c>
      <c r="C25" s="63"/>
      <c r="D25" s="63"/>
      <c r="E25" s="63"/>
    </row>
    <row r="26" spans="1:5">
      <c r="A26" s="47" t="s">
        <v>98</v>
      </c>
      <c r="B26" s="63" t="s">
        <v>341</v>
      </c>
      <c r="C26" s="47"/>
      <c r="D26" s="63"/>
      <c r="E26" s="63"/>
    </row>
    <row r="27" spans="1:5">
      <c r="A27" s="47" t="s">
        <v>99</v>
      </c>
      <c r="B27" s="63" t="s">
        <v>94</v>
      </c>
      <c r="C27" s="63" t="s">
        <v>95</v>
      </c>
      <c r="D27" s="63" t="s">
        <v>104</v>
      </c>
      <c r="E27" s="63" t="s">
        <v>105</v>
      </c>
    </row>
    <row r="28" spans="1:5">
      <c r="A28" s="47" t="s">
        <v>100</v>
      </c>
      <c r="B28" s="63" t="s">
        <v>94</v>
      </c>
      <c r="C28" s="63" t="s">
        <v>95</v>
      </c>
      <c r="D28" s="63" t="s">
        <v>104</v>
      </c>
      <c r="E28" s="63" t="s">
        <v>105</v>
      </c>
    </row>
    <row r="29" spans="1:5">
      <c r="A29" s="47" t="s">
        <v>101</v>
      </c>
      <c r="B29" s="63" t="s">
        <v>341</v>
      </c>
      <c r="C29" s="63"/>
      <c r="D29" s="63"/>
      <c r="E29" s="63"/>
    </row>
    <row r="30" spans="1:5">
      <c r="A30" s="47" t="s">
        <v>102</v>
      </c>
      <c r="B30" s="63" t="s">
        <v>341</v>
      </c>
      <c r="C30" s="63"/>
      <c r="D30" s="63"/>
      <c r="E30" s="63"/>
    </row>
    <row r="31" spans="1:5">
      <c r="A31" s="47" t="s">
        <v>103</v>
      </c>
      <c r="B31" s="47" t="s">
        <v>343</v>
      </c>
      <c r="C31" s="47" t="s">
        <v>111</v>
      </c>
      <c r="D31" s="63" t="s">
        <v>117</v>
      </c>
      <c r="E31" s="63"/>
    </row>
    <row r="32" spans="1:5">
      <c r="A32" s="47" t="s">
        <v>104</v>
      </c>
      <c r="B32" s="47" t="s">
        <v>94</v>
      </c>
      <c r="C32" s="47" t="s">
        <v>95</v>
      </c>
      <c r="D32" s="47" t="s">
        <v>99</v>
      </c>
      <c r="E32" s="47" t="s">
        <v>100</v>
      </c>
    </row>
    <row r="33" spans="1:5">
      <c r="A33" s="47" t="s">
        <v>105</v>
      </c>
      <c r="B33" s="47" t="s">
        <v>94</v>
      </c>
      <c r="C33" s="47" t="s">
        <v>95</v>
      </c>
      <c r="D33" s="47" t="s">
        <v>99</v>
      </c>
      <c r="E33" s="47" t="s">
        <v>100</v>
      </c>
    </row>
    <row r="34" spans="1:5">
      <c r="A34" s="47" t="s">
        <v>106</v>
      </c>
      <c r="B34" s="63" t="s">
        <v>341</v>
      </c>
      <c r="C34" s="63"/>
      <c r="D34" s="63"/>
      <c r="E34" s="63"/>
    </row>
    <row r="35" spans="1:5">
      <c r="A35" s="47" t="s">
        <v>107</v>
      </c>
      <c r="B35" s="63" t="s">
        <v>341</v>
      </c>
      <c r="C35" s="63"/>
      <c r="D35" s="63"/>
      <c r="E35" s="63"/>
    </row>
    <row r="36" spans="1:5">
      <c r="A36" s="47" t="s">
        <v>108</v>
      </c>
      <c r="B36" s="63" t="s">
        <v>341</v>
      </c>
      <c r="C36" s="63"/>
      <c r="D36" s="63"/>
      <c r="E36" s="63"/>
    </row>
    <row r="37" spans="1:5">
      <c r="A37" s="47" t="s">
        <v>109</v>
      </c>
      <c r="B37" s="63" t="s">
        <v>341</v>
      </c>
      <c r="C37" s="63"/>
      <c r="D37" s="63"/>
      <c r="E37" s="63"/>
    </row>
    <row r="38" spans="1:5">
      <c r="A38" s="47" t="s">
        <v>110</v>
      </c>
      <c r="B38" s="63" t="s">
        <v>341</v>
      </c>
      <c r="C38" s="63"/>
      <c r="D38" s="63"/>
      <c r="E38" s="63"/>
    </row>
    <row r="39" spans="1:5">
      <c r="A39" s="47" t="s">
        <v>111</v>
      </c>
      <c r="B39" s="47" t="s">
        <v>103</v>
      </c>
      <c r="C39" s="63" t="s">
        <v>117</v>
      </c>
      <c r="E39" s="63"/>
    </row>
    <row r="40" spans="1:5">
      <c r="A40" s="47" t="s">
        <v>112</v>
      </c>
      <c r="B40" s="47" t="s">
        <v>94</v>
      </c>
      <c r="C40" s="47" t="s">
        <v>95</v>
      </c>
      <c r="D40" s="47" t="s">
        <v>99</v>
      </c>
      <c r="E40" s="47" t="s">
        <v>100</v>
      </c>
    </row>
    <row r="41" spans="1:5">
      <c r="A41" s="47" t="s">
        <v>113</v>
      </c>
      <c r="B41" s="47" t="s">
        <v>94</v>
      </c>
      <c r="C41" s="47" t="s">
        <v>95</v>
      </c>
      <c r="D41" s="47" t="s">
        <v>99</v>
      </c>
      <c r="E41" s="47" t="s">
        <v>100</v>
      </c>
    </row>
    <row r="42" spans="1:5">
      <c r="A42" s="47" t="s">
        <v>114</v>
      </c>
      <c r="B42" s="63" t="s">
        <v>341</v>
      </c>
      <c r="C42" s="63"/>
      <c r="D42" s="63"/>
      <c r="E42" s="63"/>
    </row>
    <row r="43" spans="1:5">
      <c r="A43" s="47" t="s">
        <v>115</v>
      </c>
      <c r="B43" s="63" t="s">
        <v>341</v>
      </c>
      <c r="C43" s="63"/>
      <c r="D43" s="63"/>
      <c r="E43" s="63"/>
    </row>
    <row r="44" spans="1:5">
      <c r="A44" s="47" t="s">
        <v>116</v>
      </c>
      <c r="B44" s="63" t="s">
        <v>341</v>
      </c>
      <c r="C44" s="63"/>
      <c r="D44" s="63"/>
      <c r="E44" s="63"/>
    </row>
    <row r="45" spans="1:5">
      <c r="A45" s="47" t="s">
        <v>117</v>
      </c>
      <c r="B45" s="47" t="s">
        <v>344</v>
      </c>
      <c r="C45" s="47" t="s">
        <v>111</v>
      </c>
      <c r="D45" s="63" t="s">
        <v>345</v>
      </c>
      <c r="E45" s="63"/>
    </row>
    <row r="46" spans="1:5">
      <c r="A46" s="47" t="s">
        <v>118</v>
      </c>
      <c r="B46" s="47" t="s">
        <v>88</v>
      </c>
      <c r="C46" s="47" t="s">
        <v>122</v>
      </c>
      <c r="D46" s="47" t="s">
        <v>123</v>
      </c>
      <c r="E46" s="47" t="s">
        <v>129</v>
      </c>
    </row>
    <row r="47" spans="1:5">
      <c r="A47" s="47" t="s">
        <v>119</v>
      </c>
      <c r="B47" s="47" t="s">
        <v>135</v>
      </c>
      <c r="C47" s="63"/>
      <c r="D47" s="63"/>
      <c r="E47" s="63"/>
    </row>
    <row r="48" spans="1:5">
      <c r="A48" s="47" t="s">
        <v>120</v>
      </c>
      <c r="B48" s="63" t="s">
        <v>341</v>
      </c>
      <c r="C48" s="63"/>
      <c r="D48" s="63"/>
      <c r="E48" s="63"/>
    </row>
    <row r="49" spans="1:5">
      <c r="A49" s="47" t="s">
        <v>121</v>
      </c>
      <c r="B49" s="47" t="s">
        <v>128</v>
      </c>
      <c r="C49" s="47" t="s">
        <v>139</v>
      </c>
      <c r="D49" s="47" t="s">
        <v>157</v>
      </c>
      <c r="E49" s="47" t="s">
        <v>167</v>
      </c>
    </row>
    <row r="50" spans="1:5">
      <c r="A50" s="47" t="s">
        <v>122</v>
      </c>
      <c r="B50" s="47" t="s">
        <v>123</v>
      </c>
      <c r="C50" s="47" t="s">
        <v>129</v>
      </c>
      <c r="D50" s="47" t="s">
        <v>130</v>
      </c>
      <c r="E50" s="47" t="s">
        <v>149</v>
      </c>
    </row>
    <row r="51" spans="1:5">
      <c r="A51" s="47" t="s">
        <v>123</v>
      </c>
      <c r="B51" s="47" t="s">
        <v>122</v>
      </c>
      <c r="C51" s="47" t="s">
        <v>129</v>
      </c>
      <c r="D51" s="47" t="s">
        <v>130</v>
      </c>
      <c r="E51" s="47" t="s">
        <v>149</v>
      </c>
    </row>
    <row r="52" spans="1:5">
      <c r="A52" s="47" t="s">
        <v>124</v>
      </c>
      <c r="B52" s="47" t="s">
        <v>104</v>
      </c>
      <c r="C52" s="47" t="s">
        <v>105</v>
      </c>
      <c r="D52" s="47" t="s">
        <v>131</v>
      </c>
      <c r="E52" s="63"/>
    </row>
    <row r="53" spans="1:5">
      <c r="A53" s="47" t="s">
        <v>125</v>
      </c>
      <c r="B53" s="47" t="s">
        <v>151</v>
      </c>
      <c r="C53" s="47" t="s">
        <v>153</v>
      </c>
      <c r="D53" s="47" t="s">
        <v>163</v>
      </c>
      <c r="E53" s="63"/>
    </row>
    <row r="54" spans="1:5">
      <c r="A54" s="47" t="s">
        <v>126</v>
      </c>
      <c r="B54" s="63" t="s">
        <v>346</v>
      </c>
      <c r="C54" s="63"/>
      <c r="D54" s="63"/>
      <c r="E54" s="63"/>
    </row>
    <row r="55" spans="1:5">
      <c r="A55" s="47" t="s">
        <v>127</v>
      </c>
      <c r="B55" s="63" t="s">
        <v>341</v>
      </c>
      <c r="C55" s="63"/>
      <c r="D55" s="63"/>
      <c r="E55" s="63"/>
    </row>
    <row r="56" spans="1:5">
      <c r="A56" s="47" t="s">
        <v>128</v>
      </c>
      <c r="B56" s="47" t="s">
        <v>139</v>
      </c>
      <c r="C56" s="47" t="s">
        <v>139</v>
      </c>
      <c r="D56" s="47" t="s">
        <v>157</v>
      </c>
      <c r="E56" s="47" t="s">
        <v>167</v>
      </c>
    </row>
    <row r="57" spans="1:5">
      <c r="A57" s="47" t="s">
        <v>129</v>
      </c>
      <c r="B57" s="47" t="s">
        <v>169</v>
      </c>
      <c r="C57" s="47" t="s">
        <v>171</v>
      </c>
      <c r="D57" s="47" t="s">
        <v>227</v>
      </c>
      <c r="E57" s="63"/>
    </row>
    <row r="58" spans="1:5">
      <c r="A58" s="47" t="s">
        <v>130</v>
      </c>
      <c r="B58" s="47" t="s">
        <v>169</v>
      </c>
      <c r="C58" s="47" t="s">
        <v>171</v>
      </c>
      <c r="D58" s="47" t="s">
        <v>227</v>
      </c>
      <c r="E58" s="63"/>
    </row>
    <row r="59" spans="1:5">
      <c r="A59" s="47" t="s">
        <v>131</v>
      </c>
      <c r="B59" s="47" t="s">
        <v>104</v>
      </c>
      <c r="C59" s="47" t="s">
        <v>105</v>
      </c>
      <c r="D59" s="47" t="s">
        <v>124</v>
      </c>
      <c r="E59" s="63"/>
    </row>
    <row r="60" spans="1:5">
      <c r="A60" s="47" t="s">
        <v>133</v>
      </c>
      <c r="B60" s="47" t="s">
        <v>94</v>
      </c>
      <c r="C60" s="47" t="s">
        <v>95</v>
      </c>
      <c r="D60" s="47" t="s">
        <v>99</v>
      </c>
      <c r="E60" s="47" t="s">
        <v>100</v>
      </c>
    </row>
    <row r="61" spans="1:5">
      <c r="A61" s="47" t="s">
        <v>135</v>
      </c>
      <c r="B61" s="47" t="s">
        <v>119</v>
      </c>
      <c r="C61" s="63"/>
      <c r="D61" s="63"/>
      <c r="E61" s="63"/>
    </row>
    <row r="62" spans="1:5">
      <c r="A62" s="47" t="s">
        <v>137</v>
      </c>
      <c r="B62" s="63" t="s">
        <v>341</v>
      </c>
      <c r="C62" s="63"/>
      <c r="D62" s="63"/>
      <c r="E62" s="63"/>
    </row>
    <row r="63" spans="1:5">
      <c r="A63" s="47" t="s">
        <v>139</v>
      </c>
      <c r="B63" s="47" t="s">
        <v>128</v>
      </c>
      <c r="C63" s="47" t="s">
        <v>121</v>
      </c>
      <c r="D63" s="47" t="s">
        <v>157</v>
      </c>
      <c r="E63" s="47" t="s">
        <v>167</v>
      </c>
    </row>
    <row r="64" spans="1:5">
      <c r="A64" s="47" t="s">
        <v>141</v>
      </c>
      <c r="B64" s="63" t="s">
        <v>347</v>
      </c>
      <c r="C64" s="63"/>
      <c r="D64" s="63"/>
      <c r="E64" s="63"/>
    </row>
    <row r="65" spans="1:5">
      <c r="A65" s="47" t="s">
        <v>143</v>
      </c>
      <c r="B65" s="63" t="s">
        <v>341</v>
      </c>
      <c r="C65" s="63"/>
      <c r="D65" s="63"/>
      <c r="E65" s="63"/>
    </row>
    <row r="66" spans="1:5">
      <c r="A66" s="47" t="s">
        <v>145</v>
      </c>
      <c r="B66" s="47" t="s">
        <v>128</v>
      </c>
      <c r="C66" s="47" t="s">
        <v>139</v>
      </c>
      <c r="D66" s="47" t="s">
        <v>157</v>
      </c>
      <c r="E66" s="47" t="s">
        <v>167</v>
      </c>
    </row>
    <row r="67" spans="1:5">
      <c r="A67" s="47" t="s">
        <v>147</v>
      </c>
      <c r="B67" s="47" t="s">
        <v>125</v>
      </c>
      <c r="C67" s="47" t="s">
        <v>151</v>
      </c>
      <c r="D67" s="47" t="s">
        <v>153</v>
      </c>
      <c r="E67" s="63"/>
    </row>
    <row r="68" spans="1:5">
      <c r="A68" s="47" t="s">
        <v>149</v>
      </c>
      <c r="B68" s="47" t="s">
        <v>88</v>
      </c>
      <c r="C68" s="47" t="s">
        <v>122</v>
      </c>
      <c r="D68" s="47" t="s">
        <v>123</v>
      </c>
      <c r="E68" s="47" t="s">
        <v>129</v>
      </c>
    </row>
    <row r="69" spans="1:5">
      <c r="A69" s="47" t="s">
        <v>151</v>
      </c>
      <c r="B69" s="47" t="s">
        <v>147</v>
      </c>
      <c r="C69" s="47" t="s">
        <v>153</v>
      </c>
      <c r="D69" s="47" t="s">
        <v>173</v>
      </c>
      <c r="E69" s="63" t="s">
        <v>163</v>
      </c>
    </row>
    <row r="70" spans="1:5">
      <c r="A70" s="47" t="s">
        <v>153</v>
      </c>
      <c r="B70" s="47" t="s">
        <v>147</v>
      </c>
      <c r="C70" s="47" t="s">
        <v>151</v>
      </c>
      <c r="D70" s="47" t="s">
        <v>153</v>
      </c>
      <c r="E70" s="63" t="s">
        <v>163</v>
      </c>
    </row>
    <row r="71" spans="1:5">
      <c r="A71" s="47" t="s">
        <v>155</v>
      </c>
      <c r="B71" s="63" t="s">
        <v>341</v>
      </c>
      <c r="C71" s="63"/>
      <c r="D71" s="63"/>
      <c r="E71" s="63"/>
    </row>
    <row r="72" spans="1:5">
      <c r="A72" s="47" t="s">
        <v>157</v>
      </c>
      <c r="B72" s="47" t="s">
        <v>128</v>
      </c>
      <c r="C72" s="47" t="s">
        <v>121</v>
      </c>
      <c r="D72" s="47" t="s">
        <v>193</v>
      </c>
      <c r="E72" s="47" t="s">
        <v>167</v>
      </c>
    </row>
    <row r="73" spans="1:5">
      <c r="A73" s="47" t="s">
        <v>159</v>
      </c>
      <c r="B73" s="47" t="s">
        <v>94</v>
      </c>
      <c r="C73" s="47" t="s">
        <v>95</v>
      </c>
      <c r="D73" s="47" t="s">
        <v>99</v>
      </c>
      <c r="E73" s="47" t="s">
        <v>100</v>
      </c>
    </row>
    <row r="74" spans="1:5">
      <c r="A74" s="47" t="s">
        <v>161</v>
      </c>
      <c r="B74" s="47" t="s">
        <v>94</v>
      </c>
      <c r="C74" s="47" t="s">
        <v>95</v>
      </c>
      <c r="D74" s="47" t="s">
        <v>99</v>
      </c>
      <c r="E74" s="47" t="s">
        <v>100</v>
      </c>
    </row>
    <row r="75" spans="1:5">
      <c r="A75" s="47" t="s">
        <v>163</v>
      </c>
      <c r="B75" s="47" t="s">
        <v>147</v>
      </c>
      <c r="C75" s="47" t="s">
        <v>153</v>
      </c>
      <c r="D75" s="47" t="s">
        <v>173</v>
      </c>
      <c r="E75" s="47" t="s">
        <v>225</v>
      </c>
    </row>
    <row r="76" spans="1:5">
      <c r="A76" s="47" t="s">
        <v>165</v>
      </c>
      <c r="B76" s="63" t="s">
        <v>341</v>
      </c>
      <c r="C76" s="63"/>
      <c r="D76" s="63"/>
      <c r="E76" s="63"/>
    </row>
    <row r="77" spans="1:5">
      <c r="A77" s="47" t="s">
        <v>167</v>
      </c>
      <c r="B77" s="47" t="s">
        <v>128</v>
      </c>
      <c r="C77" s="47" t="s">
        <v>121</v>
      </c>
      <c r="D77" s="47" t="s">
        <v>193</v>
      </c>
      <c r="E77" s="47" t="s">
        <v>157</v>
      </c>
    </row>
    <row r="78" spans="1:5">
      <c r="A78" s="47" t="s">
        <v>169</v>
      </c>
      <c r="B78" s="47" t="s">
        <v>88</v>
      </c>
      <c r="C78" s="47" t="s">
        <v>122</v>
      </c>
      <c r="D78" s="47" t="s">
        <v>123</v>
      </c>
      <c r="E78" s="47" t="s">
        <v>129</v>
      </c>
    </row>
    <row r="79" spans="1:5">
      <c r="A79" s="47" t="s">
        <v>171</v>
      </c>
      <c r="B79" s="47" t="s">
        <v>88</v>
      </c>
      <c r="C79" s="47" t="s">
        <v>122</v>
      </c>
      <c r="D79" s="47" t="s">
        <v>123</v>
      </c>
      <c r="E79" s="47" t="s">
        <v>129</v>
      </c>
    </row>
    <row r="80" spans="1:5">
      <c r="A80" s="47" t="s">
        <v>173</v>
      </c>
      <c r="B80" s="47" t="s">
        <v>147</v>
      </c>
      <c r="C80" s="47" t="s">
        <v>151</v>
      </c>
      <c r="D80" s="47" t="s">
        <v>153</v>
      </c>
      <c r="E80" s="63" t="s">
        <v>163</v>
      </c>
    </row>
    <row r="81" spans="1:5">
      <c r="A81" s="47" t="s">
        <v>175</v>
      </c>
      <c r="B81" s="47" t="s">
        <v>147</v>
      </c>
      <c r="C81" s="47" t="s">
        <v>151</v>
      </c>
      <c r="D81" s="47" t="s">
        <v>153</v>
      </c>
      <c r="E81" s="63" t="s">
        <v>163</v>
      </c>
    </row>
    <row r="82" spans="1:5">
      <c r="A82" s="47" t="s">
        <v>177</v>
      </c>
      <c r="B82" s="47" t="s">
        <v>147</v>
      </c>
      <c r="C82" s="47" t="s">
        <v>151</v>
      </c>
      <c r="D82" s="47" t="s">
        <v>153</v>
      </c>
      <c r="E82" s="63" t="s">
        <v>163</v>
      </c>
    </row>
    <row r="83" spans="1:5">
      <c r="A83" s="47" t="s">
        <v>179</v>
      </c>
      <c r="B83" s="47" t="s">
        <v>147</v>
      </c>
      <c r="C83" s="47" t="s">
        <v>151</v>
      </c>
      <c r="D83" s="47" t="s">
        <v>153</v>
      </c>
      <c r="E83" s="63" t="s">
        <v>163</v>
      </c>
    </row>
    <row r="84" spans="1:5">
      <c r="A84" s="47" t="s">
        <v>181</v>
      </c>
      <c r="B84" s="47" t="s">
        <v>99</v>
      </c>
      <c r="C84" s="47" t="s">
        <v>100</v>
      </c>
      <c r="D84" s="47" t="s">
        <v>104</v>
      </c>
      <c r="E84" s="47" t="s">
        <v>105</v>
      </c>
    </row>
    <row r="85" spans="1:5">
      <c r="A85" s="47" t="s">
        <v>183</v>
      </c>
      <c r="B85" s="47" t="s">
        <v>256</v>
      </c>
      <c r="C85" s="47" t="s">
        <v>262</v>
      </c>
      <c r="D85" s="63"/>
      <c r="E85" s="63"/>
    </row>
    <row r="86" spans="1:5">
      <c r="A86" s="47" t="s">
        <v>185</v>
      </c>
      <c r="B86" s="63" t="s">
        <v>348</v>
      </c>
      <c r="C86" s="63" t="s">
        <v>349</v>
      </c>
      <c r="D86" s="63" t="s">
        <v>350</v>
      </c>
      <c r="E86" s="63" t="s">
        <v>351</v>
      </c>
    </row>
    <row r="87" spans="1:5">
      <c r="A87" s="47" t="s">
        <v>187</v>
      </c>
      <c r="B87" s="47" t="s">
        <v>352</v>
      </c>
      <c r="C87" s="47" t="s">
        <v>353</v>
      </c>
      <c r="D87" s="63"/>
      <c r="E87" s="63"/>
    </row>
    <row r="88" spans="1:5">
      <c r="A88" s="47" t="s">
        <v>189</v>
      </c>
      <c r="B88" s="47" t="s">
        <v>185</v>
      </c>
      <c r="C88" s="63" t="s">
        <v>354</v>
      </c>
      <c r="D88" s="63"/>
      <c r="E88" s="63"/>
    </row>
    <row r="89" spans="1:5">
      <c r="A89" s="47" t="s">
        <v>191</v>
      </c>
      <c r="B89" s="63" t="s">
        <v>341</v>
      </c>
      <c r="C89" s="63"/>
      <c r="D89" s="63"/>
      <c r="E89" s="63"/>
    </row>
    <row r="90" spans="1:5">
      <c r="A90" s="47" t="s">
        <v>193</v>
      </c>
      <c r="B90" s="47" t="s">
        <v>128</v>
      </c>
      <c r="C90" s="47" t="s">
        <v>121</v>
      </c>
      <c r="D90" s="47" t="s">
        <v>209</v>
      </c>
      <c r="E90" s="47" t="s">
        <v>157</v>
      </c>
    </row>
    <row r="91" spans="1:5">
      <c r="A91" s="47" t="s">
        <v>195</v>
      </c>
      <c r="B91" s="63" t="s">
        <v>341</v>
      </c>
      <c r="C91" s="63"/>
      <c r="D91" s="63"/>
      <c r="E91" s="63"/>
    </row>
    <row r="92" spans="1:5">
      <c r="A92" s="47" t="s">
        <v>197</v>
      </c>
      <c r="B92" s="63" t="s">
        <v>341</v>
      </c>
      <c r="C92" s="63"/>
      <c r="D92" s="63"/>
      <c r="E92" s="63"/>
    </row>
    <row r="93" spans="1:5">
      <c r="A93" s="47" t="s">
        <v>199</v>
      </c>
      <c r="B93" s="47" t="s">
        <v>128</v>
      </c>
      <c r="C93" s="47" t="s">
        <v>121</v>
      </c>
      <c r="D93" s="47" t="s">
        <v>209</v>
      </c>
      <c r="E93" s="47" t="s">
        <v>157</v>
      </c>
    </row>
    <row r="94" spans="1:5">
      <c r="A94" s="47" t="s">
        <v>201</v>
      </c>
      <c r="B94" s="47" t="s">
        <v>88</v>
      </c>
      <c r="C94" s="47" t="s">
        <v>122</v>
      </c>
      <c r="D94" s="47" t="s">
        <v>123</v>
      </c>
      <c r="E94" s="47" t="s">
        <v>129</v>
      </c>
    </row>
    <row r="95" spans="1:5">
      <c r="A95" s="47" t="s">
        <v>203</v>
      </c>
      <c r="B95" s="47" t="s">
        <v>88</v>
      </c>
      <c r="C95" s="47" t="s">
        <v>122</v>
      </c>
      <c r="D95" s="47" t="s">
        <v>123</v>
      </c>
      <c r="E95" s="47" t="s">
        <v>129</v>
      </c>
    </row>
    <row r="96" spans="1:5">
      <c r="A96" s="47" t="s">
        <v>205</v>
      </c>
      <c r="B96" s="47" t="s">
        <v>147</v>
      </c>
      <c r="C96" s="47" t="s">
        <v>151</v>
      </c>
      <c r="D96" s="47" t="s">
        <v>153</v>
      </c>
      <c r="E96" s="63" t="s">
        <v>163</v>
      </c>
    </row>
    <row r="97" spans="1:5">
      <c r="A97" s="47" t="s">
        <v>207</v>
      </c>
      <c r="B97" s="63" t="s">
        <v>341</v>
      </c>
      <c r="C97" s="63"/>
      <c r="D97" s="63"/>
      <c r="E97" s="63"/>
    </row>
    <row r="98" spans="1:5">
      <c r="A98" s="47" t="s">
        <v>209</v>
      </c>
      <c r="B98" s="47" t="s">
        <v>128</v>
      </c>
      <c r="C98" s="47" t="s">
        <v>121</v>
      </c>
      <c r="D98" s="47" t="s">
        <v>221</v>
      </c>
      <c r="E98" s="47" t="s">
        <v>157</v>
      </c>
    </row>
    <row r="99" spans="1:5">
      <c r="A99" s="47" t="s">
        <v>211</v>
      </c>
      <c r="B99" s="63" t="s">
        <v>341</v>
      </c>
      <c r="C99" s="63"/>
      <c r="D99" s="63"/>
      <c r="E99" s="63"/>
    </row>
    <row r="100" spans="1:5">
      <c r="A100" s="47" t="s">
        <v>213</v>
      </c>
      <c r="B100" s="47" t="s">
        <v>128</v>
      </c>
      <c r="C100" s="47" t="s">
        <v>121</v>
      </c>
      <c r="D100" s="47" t="s">
        <v>221</v>
      </c>
      <c r="E100" s="47" t="s">
        <v>157</v>
      </c>
    </row>
    <row r="101" spans="1:5">
      <c r="A101" s="47" t="s">
        <v>215</v>
      </c>
      <c r="B101" s="63" t="s">
        <v>341</v>
      </c>
      <c r="C101" s="63"/>
      <c r="D101" s="63"/>
      <c r="E101" s="63"/>
    </row>
    <row r="102" spans="1:5">
      <c r="A102" s="47" t="s">
        <v>217</v>
      </c>
      <c r="B102" s="47" t="s">
        <v>128</v>
      </c>
      <c r="C102" s="47" t="s">
        <v>121</v>
      </c>
      <c r="D102" s="47" t="s">
        <v>221</v>
      </c>
      <c r="E102" s="47" t="s">
        <v>157</v>
      </c>
    </row>
    <row r="103" spans="1:5">
      <c r="A103" s="47" t="s">
        <v>219</v>
      </c>
      <c r="B103" s="63" t="s">
        <v>341</v>
      </c>
      <c r="C103" s="63"/>
      <c r="D103" s="63"/>
      <c r="E103" s="63"/>
    </row>
    <row r="104" spans="1:5">
      <c r="A104" s="47" t="s">
        <v>221</v>
      </c>
      <c r="B104" s="47" t="s">
        <v>128</v>
      </c>
      <c r="C104" s="47" t="s">
        <v>121</v>
      </c>
      <c r="D104" s="47" t="s">
        <v>217</v>
      </c>
      <c r="E104" s="47" t="s">
        <v>157</v>
      </c>
    </row>
    <row r="105" spans="1:5">
      <c r="A105" s="47" t="s">
        <v>223</v>
      </c>
      <c r="B105" s="63" t="s">
        <v>341</v>
      </c>
      <c r="C105" s="63"/>
      <c r="D105" s="63"/>
      <c r="E105" s="63"/>
    </row>
    <row r="106" spans="1:5">
      <c r="A106" s="47" t="s">
        <v>225</v>
      </c>
      <c r="B106" s="47" t="s">
        <v>147</v>
      </c>
      <c r="C106" s="47" t="s">
        <v>151</v>
      </c>
      <c r="D106" s="47" t="s">
        <v>153</v>
      </c>
      <c r="E106" s="63" t="s">
        <v>163</v>
      </c>
    </row>
    <row r="107" spans="1:5">
      <c r="A107" s="47" t="s">
        <v>227</v>
      </c>
      <c r="B107" s="47" t="s">
        <v>147</v>
      </c>
      <c r="C107" s="47" t="s">
        <v>151</v>
      </c>
      <c r="D107" s="47" t="s">
        <v>153</v>
      </c>
      <c r="E107" s="63" t="s">
        <v>163</v>
      </c>
    </row>
    <row r="108" spans="1:5">
      <c r="A108" s="47" t="s">
        <v>229</v>
      </c>
      <c r="B108" s="47" t="s">
        <v>264</v>
      </c>
      <c r="C108" s="63" t="s">
        <v>355</v>
      </c>
      <c r="D108" s="63"/>
      <c r="E108" s="63"/>
    </row>
    <row r="109" spans="1:5">
      <c r="A109" s="47" t="s">
        <v>231</v>
      </c>
      <c r="B109" s="63" t="s">
        <v>348</v>
      </c>
      <c r="C109" s="63" t="s">
        <v>349</v>
      </c>
      <c r="D109" s="63" t="s">
        <v>350</v>
      </c>
      <c r="E109" s="63" t="s">
        <v>351</v>
      </c>
    </row>
    <row r="110" spans="1:5">
      <c r="A110" s="47" t="s">
        <v>233</v>
      </c>
      <c r="B110" s="63" t="s">
        <v>348</v>
      </c>
      <c r="C110" s="63" t="s">
        <v>349</v>
      </c>
      <c r="D110" s="63" t="s">
        <v>350</v>
      </c>
      <c r="E110" s="63" t="s">
        <v>351</v>
      </c>
    </row>
    <row r="111" spans="1:5">
      <c r="A111" s="47" t="s">
        <v>235</v>
      </c>
      <c r="B111" s="47" t="s">
        <v>128</v>
      </c>
      <c r="C111" s="47" t="s">
        <v>121</v>
      </c>
      <c r="D111" s="47" t="s">
        <v>221</v>
      </c>
      <c r="E111" s="47" t="s">
        <v>157</v>
      </c>
    </row>
    <row r="112" spans="1:5">
      <c r="A112" s="47" t="s">
        <v>237</v>
      </c>
      <c r="B112" s="63" t="s">
        <v>341</v>
      </c>
      <c r="C112" s="63"/>
      <c r="D112" s="63"/>
      <c r="E112" s="63"/>
    </row>
    <row r="113" spans="1:5">
      <c r="A113" s="47" t="s">
        <v>240</v>
      </c>
      <c r="B113" s="63" t="s">
        <v>341</v>
      </c>
      <c r="C113" s="63" t="s">
        <v>356</v>
      </c>
      <c r="D113" s="63"/>
      <c r="E113" s="63"/>
    </row>
    <row r="114" spans="1:5">
      <c r="A114" s="47" t="s">
        <v>242</v>
      </c>
      <c r="B114" s="63" t="s">
        <v>357</v>
      </c>
      <c r="C114" s="63"/>
      <c r="D114" s="63"/>
      <c r="E114" s="63"/>
    </row>
    <row r="115" spans="1:5">
      <c r="A115" s="47" t="s">
        <v>244</v>
      </c>
      <c r="B115" s="47" t="s">
        <v>235</v>
      </c>
      <c r="C115" s="47" t="s">
        <v>268</v>
      </c>
      <c r="D115" s="47" t="s">
        <v>298</v>
      </c>
      <c r="E115" s="63"/>
    </row>
    <row r="116" spans="1:5">
      <c r="A116" s="47" t="s">
        <v>246</v>
      </c>
      <c r="B116" s="63" t="s">
        <v>341</v>
      </c>
      <c r="C116" s="63"/>
      <c r="D116" s="63"/>
      <c r="E116" s="63"/>
    </row>
    <row r="117" spans="1:5">
      <c r="A117" s="47" t="s">
        <v>248</v>
      </c>
      <c r="B117" s="47" t="s">
        <v>147</v>
      </c>
      <c r="C117" s="47" t="s">
        <v>151</v>
      </c>
      <c r="D117" s="47" t="s">
        <v>153</v>
      </c>
      <c r="E117" s="63" t="s">
        <v>163</v>
      </c>
    </row>
    <row r="118" spans="1:5">
      <c r="A118" s="47" t="s">
        <v>250</v>
      </c>
      <c r="B118" s="47" t="s">
        <v>282</v>
      </c>
      <c r="C118" s="63"/>
      <c r="D118" s="63"/>
      <c r="E118" s="63"/>
    </row>
    <row r="119" spans="1:5">
      <c r="A119" s="47" t="s">
        <v>252</v>
      </c>
      <c r="B119" s="63" t="s">
        <v>348</v>
      </c>
      <c r="C119" s="63" t="s">
        <v>349</v>
      </c>
      <c r="D119" s="63" t="s">
        <v>350</v>
      </c>
      <c r="E119" s="63" t="s">
        <v>351</v>
      </c>
    </row>
    <row r="120" spans="1:5">
      <c r="A120" s="47" t="s">
        <v>254</v>
      </c>
      <c r="B120" s="63" t="s">
        <v>352</v>
      </c>
      <c r="C120" s="63" t="s">
        <v>353</v>
      </c>
      <c r="D120" s="63"/>
      <c r="E120" s="63"/>
    </row>
    <row r="121" spans="1:5">
      <c r="A121" s="47" t="s">
        <v>256</v>
      </c>
      <c r="B121" s="47" t="s">
        <v>262</v>
      </c>
      <c r="C121" s="47" t="s">
        <v>358</v>
      </c>
      <c r="D121" s="63"/>
      <c r="E121" s="63"/>
    </row>
    <row r="122" spans="1:5">
      <c r="A122" s="47" t="s">
        <v>258</v>
      </c>
      <c r="B122" s="63" t="s">
        <v>348</v>
      </c>
      <c r="C122" s="63" t="s">
        <v>349</v>
      </c>
      <c r="D122" s="63" t="s">
        <v>350</v>
      </c>
      <c r="E122" s="63" t="s">
        <v>351</v>
      </c>
    </row>
    <row r="123" spans="1:5">
      <c r="A123" s="47" t="s">
        <v>260</v>
      </c>
      <c r="B123" s="47" t="s">
        <v>256</v>
      </c>
      <c r="C123" s="47" t="s">
        <v>358</v>
      </c>
      <c r="D123" s="63"/>
      <c r="E123" s="63"/>
    </row>
    <row r="124" spans="1:5">
      <c r="A124" s="47" t="s">
        <v>262</v>
      </c>
      <c r="B124" s="47" t="s">
        <v>352</v>
      </c>
      <c r="C124" s="47" t="s">
        <v>353</v>
      </c>
      <c r="D124" s="63"/>
      <c r="E124" s="63"/>
    </row>
    <row r="125" spans="1:5">
      <c r="A125" s="47" t="s">
        <v>264</v>
      </c>
      <c r="B125" s="47" t="s">
        <v>359</v>
      </c>
      <c r="C125" s="63" t="s">
        <v>355</v>
      </c>
      <c r="D125" s="63"/>
      <c r="E125" s="63"/>
    </row>
    <row r="126" spans="1:5">
      <c r="A126" s="47" t="s">
        <v>266</v>
      </c>
      <c r="B126" s="47" t="s">
        <v>296</v>
      </c>
      <c r="C126" s="47" t="s">
        <v>327</v>
      </c>
      <c r="D126" s="63"/>
      <c r="E126" s="63"/>
    </row>
    <row r="127" spans="1:5">
      <c r="A127" s="47" t="s">
        <v>268</v>
      </c>
      <c r="B127" s="47" t="s">
        <v>235</v>
      </c>
      <c r="C127" s="47" t="s">
        <v>268</v>
      </c>
      <c r="D127" s="47" t="s">
        <v>298</v>
      </c>
      <c r="E127" s="63"/>
    </row>
    <row r="128" spans="1:5">
      <c r="A128" s="47" t="s">
        <v>270</v>
      </c>
      <c r="B128" s="63" t="s">
        <v>341</v>
      </c>
      <c r="C128" s="63"/>
      <c r="D128" s="63"/>
      <c r="E128" s="63"/>
    </row>
    <row r="129" spans="1:5">
      <c r="A129" s="47" t="s">
        <v>272</v>
      </c>
      <c r="B129" s="63" t="s">
        <v>360</v>
      </c>
      <c r="C129" s="63"/>
      <c r="D129" s="63"/>
      <c r="E129" s="63"/>
    </row>
    <row r="130" spans="1:5">
      <c r="A130" s="47" t="s">
        <v>274</v>
      </c>
      <c r="B130" s="47" t="s">
        <v>147</v>
      </c>
      <c r="C130" s="47" t="s">
        <v>151</v>
      </c>
      <c r="D130" s="47" t="s">
        <v>153</v>
      </c>
      <c r="E130" s="63" t="s">
        <v>163</v>
      </c>
    </row>
    <row r="131" spans="1:5">
      <c r="A131" s="47" t="s">
        <v>276</v>
      </c>
      <c r="B131" s="47" t="s">
        <v>147</v>
      </c>
      <c r="C131" s="47" t="s">
        <v>151</v>
      </c>
      <c r="D131" s="47" t="s">
        <v>153</v>
      </c>
      <c r="E131" s="63" t="s">
        <v>163</v>
      </c>
    </row>
    <row r="132" spans="1:5">
      <c r="A132" s="47" t="s">
        <v>278</v>
      </c>
      <c r="B132" s="47" t="s">
        <v>147</v>
      </c>
      <c r="C132" s="47" t="s">
        <v>151</v>
      </c>
      <c r="D132" s="47" t="s">
        <v>153</v>
      </c>
      <c r="E132" s="63" t="s">
        <v>163</v>
      </c>
    </row>
    <row r="133" spans="1:5">
      <c r="A133" s="47" t="s">
        <v>280</v>
      </c>
      <c r="B133" s="47" t="s">
        <v>250</v>
      </c>
      <c r="C133" s="63"/>
      <c r="D133" s="63"/>
      <c r="E133" s="63"/>
    </row>
    <row r="134" spans="1:5">
      <c r="A134" s="47" t="s">
        <v>282</v>
      </c>
      <c r="B134" s="63" t="s">
        <v>348</v>
      </c>
      <c r="C134" s="63" t="s">
        <v>349</v>
      </c>
      <c r="D134" s="63" t="s">
        <v>350</v>
      </c>
      <c r="E134" s="63" t="s">
        <v>351</v>
      </c>
    </row>
    <row r="135" spans="1:5">
      <c r="A135" s="47" t="s">
        <v>284</v>
      </c>
      <c r="B135" s="47" t="s">
        <v>352</v>
      </c>
      <c r="C135" s="47" t="s">
        <v>353</v>
      </c>
      <c r="D135" s="63"/>
      <c r="E135" s="63"/>
    </row>
    <row r="136" spans="1:5">
      <c r="A136" s="47" t="s">
        <v>358</v>
      </c>
      <c r="B136" s="47" t="s">
        <v>256</v>
      </c>
      <c r="C136" s="47" t="s">
        <v>361</v>
      </c>
      <c r="D136" s="63"/>
      <c r="E136" s="63"/>
    </row>
    <row r="137" spans="1:5">
      <c r="A137" s="47" t="s">
        <v>288</v>
      </c>
      <c r="B137" s="63" t="s">
        <v>348</v>
      </c>
      <c r="C137" s="63" t="s">
        <v>349</v>
      </c>
      <c r="D137" s="63" t="s">
        <v>350</v>
      </c>
      <c r="E137" s="63" t="s">
        <v>351</v>
      </c>
    </row>
    <row r="138" spans="1:5">
      <c r="A138" s="47" t="s">
        <v>290</v>
      </c>
      <c r="B138" s="47" t="s">
        <v>352</v>
      </c>
      <c r="C138" s="47" t="s">
        <v>353</v>
      </c>
      <c r="D138" s="63"/>
      <c r="E138" s="63"/>
    </row>
    <row r="139" spans="1:5">
      <c r="A139" s="47" t="s">
        <v>361</v>
      </c>
      <c r="B139" s="47" t="s">
        <v>256</v>
      </c>
      <c r="C139" s="47" t="s">
        <v>358</v>
      </c>
      <c r="D139" s="63"/>
      <c r="E139" s="63"/>
    </row>
    <row r="140" spans="1:5">
      <c r="A140" s="47" t="s">
        <v>294</v>
      </c>
      <c r="B140" s="47" t="s">
        <v>88</v>
      </c>
      <c r="C140" s="47" t="s">
        <v>122</v>
      </c>
      <c r="D140" s="47" t="s">
        <v>123</v>
      </c>
      <c r="E140" s="47" t="s">
        <v>129</v>
      </c>
    </row>
    <row r="141" spans="1:5">
      <c r="A141" s="47" t="s">
        <v>296</v>
      </c>
      <c r="B141" s="47" t="s">
        <v>266</v>
      </c>
      <c r="C141" s="47" t="s">
        <v>327</v>
      </c>
      <c r="D141" s="63"/>
      <c r="E141" s="63"/>
    </row>
    <row r="142" spans="1:5">
      <c r="A142" s="47" t="s">
        <v>298</v>
      </c>
      <c r="B142" s="47" t="s">
        <v>128</v>
      </c>
      <c r="C142" s="47" t="s">
        <v>121</v>
      </c>
      <c r="D142" s="47" t="s">
        <v>221</v>
      </c>
      <c r="E142" s="47" t="s">
        <v>157</v>
      </c>
    </row>
    <row r="143" spans="1:5">
      <c r="A143" s="47" t="s">
        <v>300</v>
      </c>
      <c r="B143" s="63" t="s">
        <v>341</v>
      </c>
      <c r="C143" s="63"/>
      <c r="D143" s="63"/>
      <c r="E143" s="63"/>
    </row>
    <row r="144" spans="1:5">
      <c r="A144" s="47" t="s">
        <v>302</v>
      </c>
      <c r="B144" s="47" t="s">
        <v>304</v>
      </c>
      <c r="C144" s="47" t="s">
        <v>306</v>
      </c>
      <c r="D144" s="47" t="s">
        <v>308</v>
      </c>
      <c r="E144" s="63"/>
    </row>
    <row r="145" spans="1:5">
      <c r="A145" s="47" t="s">
        <v>304</v>
      </c>
      <c r="B145" s="47" t="s">
        <v>302</v>
      </c>
      <c r="C145" s="47" t="s">
        <v>306</v>
      </c>
      <c r="D145" s="47" t="s">
        <v>304</v>
      </c>
      <c r="E145" s="63"/>
    </row>
    <row r="146" spans="1:5">
      <c r="A146" s="47" t="s">
        <v>306</v>
      </c>
      <c r="B146" s="47" t="s">
        <v>302</v>
      </c>
      <c r="C146" s="47" t="s">
        <v>304</v>
      </c>
      <c r="D146" s="47" t="s">
        <v>308</v>
      </c>
      <c r="E146" s="63"/>
    </row>
    <row r="147" spans="1:5">
      <c r="A147" s="47" t="s">
        <v>308</v>
      </c>
      <c r="B147" s="47" t="s">
        <v>302</v>
      </c>
      <c r="C147" s="47" t="s">
        <v>304</v>
      </c>
      <c r="D147" s="47" t="s">
        <v>306</v>
      </c>
      <c r="E147" s="63"/>
    </row>
    <row r="148" spans="1:5">
      <c r="A148" s="47" t="s">
        <v>310</v>
      </c>
      <c r="B148" s="47" t="s">
        <v>302</v>
      </c>
      <c r="C148" s="47" t="s">
        <v>304</v>
      </c>
      <c r="D148" s="47" t="s">
        <v>306</v>
      </c>
      <c r="E148" s="63"/>
    </row>
    <row r="149" spans="1:5">
      <c r="A149" s="47" t="s">
        <v>312</v>
      </c>
      <c r="B149" s="63" t="s">
        <v>341</v>
      </c>
      <c r="C149" s="63"/>
      <c r="D149" s="63"/>
      <c r="E149" s="63"/>
    </row>
    <row r="150" spans="1:5">
      <c r="A150" s="47" t="s">
        <v>315</v>
      </c>
      <c r="B150" s="63" t="s">
        <v>341</v>
      </c>
      <c r="C150" s="63"/>
      <c r="D150" s="63"/>
      <c r="E150" s="63"/>
    </row>
    <row r="151" spans="1:5">
      <c r="A151" s="47" t="s">
        <v>317</v>
      </c>
      <c r="B151" s="63" t="s">
        <v>341</v>
      </c>
      <c r="C151" s="63"/>
      <c r="D151" s="63"/>
      <c r="E151" s="63"/>
    </row>
    <row r="152" spans="1:5">
      <c r="A152" s="47" t="s">
        <v>319</v>
      </c>
      <c r="B152" s="63" t="s">
        <v>341</v>
      </c>
      <c r="C152" s="63"/>
      <c r="D152" s="63"/>
      <c r="E152" s="63"/>
    </row>
    <row r="153" spans="1:5">
      <c r="A153" s="47" t="s">
        <v>320</v>
      </c>
      <c r="B153" s="63" t="s">
        <v>341</v>
      </c>
      <c r="C153" s="63"/>
      <c r="D153" s="63"/>
      <c r="E153" s="63"/>
    </row>
    <row r="154" spans="1:5">
      <c r="A154" s="47" t="s">
        <v>321</v>
      </c>
      <c r="B154" s="47" t="s">
        <v>322</v>
      </c>
      <c r="C154" s="47" t="s">
        <v>323</v>
      </c>
      <c r="D154" s="47" t="s">
        <v>324</v>
      </c>
      <c r="E154" s="63"/>
    </row>
    <row r="155" spans="1:5">
      <c r="A155" s="47" t="s">
        <v>322</v>
      </c>
      <c r="B155" s="47" t="s">
        <v>321</v>
      </c>
      <c r="C155" s="47" t="s">
        <v>323</v>
      </c>
      <c r="D155" s="47" t="s">
        <v>324</v>
      </c>
      <c r="E155" s="63"/>
    </row>
    <row r="156" spans="1:5">
      <c r="A156" s="47" t="s">
        <v>323</v>
      </c>
      <c r="B156" s="47" t="s">
        <v>322</v>
      </c>
      <c r="C156" s="47" t="s">
        <v>321</v>
      </c>
      <c r="D156" s="47" t="s">
        <v>324</v>
      </c>
      <c r="E156" s="63"/>
    </row>
    <row r="157" spans="1:5">
      <c r="A157" s="47" t="s">
        <v>324</v>
      </c>
      <c r="B157" s="47" t="s">
        <v>322</v>
      </c>
      <c r="C157" s="47" t="s">
        <v>321</v>
      </c>
      <c r="D157" s="47" t="s">
        <v>323</v>
      </c>
      <c r="E157" s="63"/>
    </row>
    <row r="158" spans="1:5">
      <c r="A158" s="47" t="s">
        <v>325</v>
      </c>
      <c r="B158" s="63" t="s">
        <v>341</v>
      </c>
      <c r="C158" s="63"/>
      <c r="D158" s="63"/>
      <c r="E158" s="63"/>
    </row>
    <row r="159" spans="1:5">
      <c r="A159" s="47" t="s">
        <v>326</v>
      </c>
      <c r="B159" s="63" t="s">
        <v>341</v>
      </c>
      <c r="C159" s="63"/>
      <c r="D159" s="63"/>
      <c r="E159" s="63"/>
    </row>
    <row r="160" spans="1:5">
      <c r="A160" s="47" t="s">
        <v>327</v>
      </c>
      <c r="B160" s="47" t="s">
        <v>266</v>
      </c>
      <c r="C160" s="47" t="s">
        <v>296</v>
      </c>
      <c r="D160" s="63"/>
      <c r="E160" s="63"/>
    </row>
    <row r="161" spans="1:5">
      <c r="A161" s="47" t="s">
        <v>328</v>
      </c>
      <c r="B161" s="63" t="s">
        <v>341</v>
      </c>
      <c r="C161" s="63"/>
      <c r="D161" s="63"/>
      <c r="E161" s="63"/>
    </row>
    <row r="162" spans="1:5">
      <c r="A162" s="47" t="s">
        <v>329</v>
      </c>
      <c r="B162" s="63" t="s">
        <v>341</v>
      </c>
      <c r="C162" s="63"/>
      <c r="D162" s="63"/>
      <c r="E162" s="63"/>
    </row>
    <row r="163" spans="1:5">
      <c r="A163" s="47" t="s">
        <v>330</v>
      </c>
      <c r="B163" s="47" t="s">
        <v>331</v>
      </c>
      <c r="C163" s="63"/>
      <c r="D163" s="63"/>
      <c r="E163" s="63"/>
    </row>
    <row r="164" spans="1:5">
      <c r="A164" s="47" t="s">
        <v>331</v>
      </c>
      <c r="B164" s="47" t="s">
        <v>330</v>
      </c>
      <c r="C164" s="63"/>
      <c r="D164" s="63"/>
      <c r="E164" s="63"/>
    </row>
  </sheetData>
  <autoFilter ref="A1:E164" xr:uid="{5F237299-4BA5-4F33-9C9A-166FB8799499}"/>
  <phoneticPr fontId="9" type="noConversion"/>
  <conditionalFormatting sqref="A20">
    <cfRule type="duplicateValues" dxfId="205" priority="394"/>
  </conditionalFormatting>
  <conditionalFormatting sqref="A5">
    <cfRule type="duplicateValues" dxfId="204" priority="385"/>
  </conditionalFormatting>
  <conditionalFormatting sqref="A6">
    <cfRule type="duplicateValues" dxfId="203" priority="380"/>
  </conditionalFormatting>
  <conditionalFormatting sqref="A21:A33 A1:A2 A7:A13 A16:A17 A19 A4">
    <cfRule type="duplicateValues" dxfId="202" priority="403"/>
  </conditionalFormatting>
  <conditionalFormatting sqref="A35:A37">
    <cfRule type="duplicateValues" dxfId="201" priority="379"/>
  </conditionalFormatting>
  <conditionalFormatting sqref="A34">
    <cfRule type="duplicateValues" dxfId="200" priority="370"/>
  </conditionalFormatting>
  <conditionalFormatting sqref="A15">
    <cfRule type="duplicateValues" dxfId="199" priority="365"/>
  </conditionalFormatting>
  <conditionalFormatting sqref="A18">
    <cfRule type="duplicateValues" dxfId="198" priority="364"/>
  </conditionalFormatting>
  <conditionalFormatting sqref="A3">
    <cfRule type="duplicateValues" dxfId="197" priority="363"/>
  </conditionalFormatting>
  <conditionalFormatting sqref="A14">
    <cfRule type="duplicateValues" dxfId="196" priority="358"/>
  </conditionalFormatting>
  <conditionalFormatting sqref="A38:A43 A59:A164">
    <cfRule type="duplicateValues" dxfId="195" priority="337"/>
  </conditionalFormatting>
  <conditionalFormatting sqref="A44:A58">
    <cfRule type="duplicateValues" dxfId="194" priority="332"/>
  </conditionalFormatting>
  <conditionalFormatting sqref="B5">
    <cfRule type="duplicateValues" dxfId="193" priority="201"/>
  </conditionalFormatting>
  <conditionalFormatting sqref="B6">
    <cfRule type="duplicateValues" dxfId="192" priority="200"/>
  </conditionalFormatting>
  <conditionalFormatting sqref="B8">
    <cfRule type="duplicateValues" dxfId="191" priority="199"/>
  </conditionalFormatting>
  <conditionalFormatting sqref="C8">
    <cfRule type="duplicateValues" dxfId="190" priority="198"/>
  </conditionalFormatting>
  <conditionalFormatting sqref="B9:D9">
    <cfRule type="duplicateValues" dxfId="189" priority="197"/>
  </conditionalFormatting>
  <conditionalFormatting sqref="B10:C10">
    <cfRule type="duplicateValues" dxfId="188" priority="196"/>
  </conditionalFormatting>
  <conditionalFormatting sqref="D10">
    <cfRule type="duplicateValues" dxfId="187" priority="195"/>
  </conditionalFormatting>
  <conditionalFormatting sqref="B11:C11">
    <cfRule type="duplicateValues" dxfId="186" priority="194"/>
  </conditionalFormatting>
  <conditionalFormatting sqref="D11">
    <cfRule type="duplicateValues" dxfId="185" priority="193"/>
  </conditionalFormatting>
  <conditionalFormatting sqref="B12:D12">
    <cfRule type="duplicateValues" dxfId="184" priority="192"/>
  </conditionalFormatting>
  <conditionalFormatting sqref="C13">
    <cfRule type="duplicateValues" dxfId="183" priority="191"/>
  </conditionalFormatting>
  <conditionalFormatting sqref="B13">
    <cfRule type="duplicateValues" dxfId="182" priority="190"/>
  </conditionalFormatting>
  <conditionalFormatting sqref="B14">
    <cfRule type="duplicateValues" dxfId="181" priority="189"/>
  </conditionalFormatting>
  <conditionalFormatting sqref="D14">
    <cfRule type="duplicateValues" dxfId="180" priority="188"/>
  </conditionalFormatting>
  <conditionalFormatting sqref="C14">
    <cfRule type="duplicateValues" dxfId="179" priority="187"/>
  </conditionalFormatting>
  <conditionalFormatting sqref="B15">
    <cfRule type="duplicateValues" dxfId="178" priority="186"/>
  </conditionalFormatting>
  <conditionalFormatting sqref="C15">
    <cfRule type="duplicateValues" dxfId="177" priority="185"/>
  </conditionalFormatting>
  <conditionalFormatting sqref="B16">
    <cfRule type="duplicateValues" dxfId="176" priority="184"/>
  </conditionalFormatting>
  <conditionalFormatting sqref="C16:D16">
    <cfRule type="duplicateValues" dxfId="175" priority="183"/>
  </conditionalFormatting>
  <conditionalFormatting sqref="E16">
    <cfRule type="duplicateValues" dxfId="174" priority="182"/>
  </conditionalFormatting>
  <conditionalFormatting sqref="B17">
    <cfRule type="duplicateValues" dxfId="173" priority="181"/>
  </conditionalFormatting>
  <conditionalFormatting sqref="B18:C18">
    <cfRule type="duplicateValues" dxfId="172" priority="180"/>
  </conditionalFormatting>
  <conditionalFormatting sqref="D18:E18">
    <cfRule type="duplicateValues" dxfId="171" priority="179"/>
  </conditionalFormatting>
  <conditionalFormatting sqref="B19:D19">
    <cfRule type="duplicateValues" dxfId="170" priority="178"/>
  </conditionalFormatting>
  <conditionalFormatting sqref="C20">
    <cfRule type="duplicateValues" dxfId="169" priority="176"/>
  </conditionalFormatting>
  <conditionalFormatting sqref="B20">
    <cfRule type="duplicateValues" dxfId="168" priority="404"/>
  </conditionalFormatting>
  <conditionalFormatting sqref="B22:E22">
    <cfRule type="duplicateValues" dxfId="167" priority="175"/>
  </conditionalFormatting>
  <conditionalFormatting sqref="B23:E23">
    <cfRule type="duplicateValues" dxfId="166" priority="174"/>
  </conditionalFormatting>
  <conditionalFormatting sqref="C26">
    <cfRule type="duplicateValues" dxfId="165" priority="172"/>
  </conditionalFormatting>
  <conditionalFormatting sqref="C31">
    <cfRule type="duplicateValues" dxfId="164" priority="170"/>
  </conditionalFormatting>
  <conditionalFormatting sqref="B31">
    <cfRule type="duplicateValues" dxfId="163" priority="171"/>
  </conditionalFormatting>
  <conditionalFormatting sqref="B32:C32">
    <cfRule type="duplicateValues" dxfId="162" priority="169"/>
  </conditionalFormatting>
  <conditionalFormatting sqref="D32:E32">
    <cfRule type="duplicateValues" dxfId="161" priority="168"/>
  </conditionalFormatting>
  <conditionalFormatting sqref="B33:C33">
    <cfRule type="duplicateValues" dxfId="160" priority="167"/>
  </conditionalFormatting>
  <conditionalFormatting sqref="D33:E33">
    <cfRule type="duplicateValues" dxfId="159" priority="166"/>
  </conditionalFormatting>
  <conditionalFormatting sqref="B39">
    <cfRule type="duplicateValues" dxfId="158" priority="165"/>
  </conditionalFormatting>
  <conditionalFormatting sqref="B40:C40">
    <cfRule type="duplicateValues" dxfId="157" priority="163"/>
  </conditionalFormatting>
  <conditionalFormatting sqref="D40:E40">
    <cfRule type="duplicateValues" dxfId="156" priority="162"/>
  </conditionalFormatting>
  <conditionalFormatting sqref="B41:C41">
    <cfRule type="duplicateValues" dxfId="155" priority="161"/>
  </conditionalFormatting>
  <conditionalFormatting sqref="D41:E41">
    <cfRule type="duplicateValues" dxfId="154" priority="160"/>
  </conditionalFormatting>
  <conditionalFormatting sqref="C45">
    <cfRule type="duplicateValues" dxfId="153" priority="158"/>
  </conditionalFormatting>
  <conditionalFormatting sqref="B45">
    <cfRule type="duplicateValues" dxfId="152" priority="159"/>
  </conditionalFormatting>
  <conditionalFormatting sqref="B46">
    <cfRule type="duplicateValues" dxfId="151" priority="157"/>
  </conditionalFormatting>
  <conditionalFormatting sqref="C46:D46">
    <cfRule type="duplicateValues" dxfId="150" priority="156"/>
  </conditionalFormatting>
  <conditionalFormatting sqref="E46">
    <cfRule type="duplicateValues" dxfId="149" priority="155"/>
  </conditionalFormatting>
  <conditionalFormatting sqref="B47">
    <cfRule type="duplicateValues" dxfId="148" priority="154"/>
  </conditionalFormatting>
  <conditionalFormatting sqref="B49">
    <cfRule type="duplicateValues" dxfId="147" priority="153"/>
  </conditionalFormatting>
  <conditionalFormatting sqref="C49:E49">
    <cfRule type="duplicateValues" dxfId="146" priority="152"/>
  </conditionalFormatting>
  <conditionalFormatting sqref="B144:D144">
    <cfRule type="duplicateValues" dxfId="145" priority="151"/>
  </conditionalFormatting>
  <conditionalFormatting sqref="B147:D147">
    <cfRule type="duplicateValues" dxfId="144" priority="150"/>
  </conditionalFormatting>
  <conditionalFormatting sqref="B145:C145">
    <cfRule type="duplicateValues" dxfId="143" priority="149"/>
  </conditionalFormatting>
  <conditionalFormatting sqref="D145">
    <cfRule type="duplicateValues" dxfId="142" priority="148"/>
  </conditionalFormatting>
  <conditionalFormatting sqref="B146:D146">
    <cfRule type="duplicateValues" dxfId="141" priority="147"/>
  </conditionalFormatting>
  <conditionalFormatting sqref="B148:D148">
    <cfRule type="duplicateValues" dxfId="140" priority="146"/>
  </conditionalFormatting>
  <conditionalFormatting sqref="B154:D154">
    <cfRule type="duplicateValues" dxfId="139" priority="145"/>
  </conditionalFormatting>
  <conditionalFormatting sqref="B155:D155">
    <cfRule type="duplicateValues" dxfId="138" priority="144"/>
  </conditionalFormatting>
  <conditionalFormatting sqref="B156:D156">
    <cfRule type="duplicateValues" dxfId="137" priority="143"/>
  </conditionalFormatting>
  <conditionalFormatting sqref="B157:D157">
    <cfRule type="duplicateValues" dxfId="136" priority="142"/>
  </conditionalFormatting>
  <conditionalFormatting sqref="B163">
    <cfRule type="duplicateValues" dxfId="135" priority="141"/>
  </conditionalFormatting>
  <conditionalFormatting sqref="B164">
    <cfRule type="duplicateValues" dxfId="134" priority="140"/>
  </conditionalFormatting>
  <conditionalFormatting sqref="B160">
    <cfRule type="duplicateValues" dxfId="133" priority="139"/>
  </conditionalFormatting>
  <conditionalFormatting sqref="C160">
    <cfRule type="duplicateValues" dxfId="132" priority="138"/>
  </conditionalFormatting>
  <conditionalFormatting sqref="B50:D50">
    <cfRule type="duplicateValues" dxfId="131" priority="137"/>
  </conditionalFormatting>
  <conditionalFormatting sqref="E50">
    <cfRule type="duplicateValues" dxfId="130" priority="136"/>
  </conditionalFormatting>
  <conditionalFormatting sqref="C51:D51">
    <cfRule type="duplicateValues" dxfId="129" priority="135"/>
  </conditionalFormatting>
  <conditionalFormatting sqref="E51">
    <cfRule type="duplicateValues" dxfId="128" priority="134"/>
  </conditionalFormatting>
  <conditionalFormatting sqref="B51">
    <cfRule type="duplicateValues" dxfId="127" priority="133"/>
  </conditionalFormatting>
  <conditionalFormatting sqref="B52:C52">
    <cfRule type="duplicateValues" dxfId="126" priority="132"/>
  </conditionalFormatting>
  <conditionalFormatting sqref="D52">
    <cfRule type="duplicateValues" dxfId="125" priority="131"/>
  </conditionalFormatting>
  <conditionalFormatting sqref="B53:D53">
    <cfRule type="duplicateValues" dxfId="124" priority="130"/>
  </conditionalFormatting>
  <conditionalFormatting sqref="B56">
    <cfRule type="duplicateValues" dxfId="123" priority="129"/>
  </conditionalFormatting>
  <conditionalFormatting sqref="C56:E56">
    <cfRule type="duplicateValues" dxfId="122" priority="128"/>
  </conditionalFormatting>
  <conditionalFormatting sqref="B57:D57">
    <cfRule type="duplicateValues" dxfId="121" priority="127"/>
  </conditionalFormatting>
  <conditionalFormatting sqref="B58:D58">
    <cfRule type="duplicateValues" dxfId="120" priority="126"/>
  </conditionalFormatting>
  <conditionalFormatting sqref="B59:C59">
    <cfRule type="duplicateValues" dxfId="119" priority="125"/>
  </conditionalFormatting>
  <conditionalFormatting sqref="D59">
    <cfRule type="duplicateValues" dxfId="118" priority="124"/>
  </conditionalFormatting>
  <conditionalFormatting sqref="B60:C60">
    <cfRule type="duplicateValues" dxfId="117" priority="123"/>
  </conditionalFormatting>
  <conditionalFormatting sqref="D60:E60">
    <cfRule type="duplicateValues" dxfId="116" priority="122"/>
  </conditionalFormatting>
  <conditionalFormatting sqref="B61">
    <cfRule type="duplicateValues" dxfId="115" priority="121"/>
  </conditionalFormatting>
  <conditionalFormatting sqref="B63">
    <cfRule type="duplicateValues" dxfId="114" priority="120"/>
  </conditionalFormatting>
  <conditionalFormatting sqref="D63:E63">
    <cfRule type="duplicateValues" dxfId="113" priority="119"/>
  </conditionalFormatting>
  <conditionalFormatting sqref="C63">
    <cfRule type="duplicateValues" dxfId="112" priority="118"/>
  </conditionalFormatting>
  <conditionalFormatting sqref="B66">
    <cfRule type="duplicateValues" dxfId="111" priority="117"/>
  </conditionalFormatting>
  <conditionalFormatting sqref="C66:E66">
    <cfRule type="duplicateValues" dxfId="110" priority="116"/>
  </conditionalFormatting>
  <conditionalFormatting sqref="B67">
    <cfRule type="duplicateValues" dxfId="109" priority="115"/>
  </conditionalFormatting>
  <conditionalFormatting sqref="C67:D67">
    <cfRule type="duplicateValues" dxfId="108" priority="114"/>
  </conditionalFormatting>
  <conditionalFormatting sqref="B68">
    <cfRule type="duplicateValues" dxfId="107" priority="113"/>
  </conditionalFormatting>
  <conditionalFormatting sqref="C68:D68">
    <cfRule type="duplicateValues" dxfId="106" priority="112"/>
  </conditionalFormatting>
  <conditionalFormatting sqref="E68">
    <cfRule type="duplicateValues" dxfId="105" priority="111"/>
  </conditionalFormatting>
  <conditionalFormatting sqref="B69:C69">
    <cfRule type="duplicateValues" dxfId="104" priority="110"/>
  </conditionalFormatting>
  <conditionalFormatting sqref="B70:D70">
    <cfRule type="duplicateValues" dxfId="103" priority="109"/>
  </conditionalFormatting>
  <conditionalFormatting sqref="D69">
    <cfRule type="duplicateValues" dxfId="102" priority="108"/>
  </conditionalFormatting>
  <conditionalFormatting sqref="B72">
    <cfRule type="duplicateValues" dxfId="101" priority="107"/>
  </conditionalFormatting>
  <conditionalFormatting sqref="E72">
    <cfRule type="duplicateValues" dxfId="100" priority="106"/>
  </conditionalFormatting>
  <conditionalFormatting sqref="C72">
    <cfRule type="duplicateValues" dxfId="99" priority="105"/>
  </conditionalFormatting>
  <conditionalFormatting sqref="D72">
    <cfRule type="duplicateValues" dxfId="98" priority="104"/>
  </conditionalFormatting>
  <conditionalFormatting sqref="B73:C73">
    <cfRule type="duplicateValues" dxfId="97" priority="103"/>
  </conditionalFormatting>
  <conditionalFormatting sqref="D73:E73">
    <cfRule type="duplicateValues" dxfId="96" priority="102"/>
  </conditionalFormatting>
  <conditionalFormatting sqref="B74:C74">
    <cfRule type="duplicateValues" dxfId="95" priority="101"/>
  </conditionalFormatting>
  <conditionalFormatting sqref="D74:E74">
    <cfRule type="duplicateValues" dxfId="94" priority="100"/>
  </conditionalFormatting>
  <conditionalFormatting sqref="B75:C75">
    <cfRule type="duplicateValues" dxfId="93" priority="99"/>
  </conditionalFormatting>
  <conditionalFormatting sqref="D75">
    <cfRule type="duplicateValues" dxfId="92" priority="98"/>
  </conditionalFormatting>
  <conditionalFormatting sqref="E75">
    <cfRule type="duplicateValues" dxfId="91" priority="97"/>
  </conditionalFormatting>
  <conditionalFormatting sqref="B77">
    <cfRule type="duplicateValues" dxfId="90" priority="96"/>
  </conditionalFormatting>
  <conditionalFormatting sqref="C77">
    <cfRule type="duplicateValues" dxfId="89" priority="94"/>
  </conditionalFormatting>
  <conditionalFormatting sqref="D77">
    <cfRule type="duplicateValues" dxfId="88" priority="93"/>
  </conditionalFormatting>
  <conditionalFormatting sqref="B78">
    <cfRule type="duplicateValues" dxfId="87" priority="91"/>
  </conditionalFormatting>
  <conditionalFormatting sqref="C78:D78">
    <cfRule type="duplicateValues" dxfId="86" priority="90"/>
  </conditionalFormatting>
  <conditionalFormatting sqref="E78">
    <cfRule type="duplicateValues" dxfId="85" priority="89"/>
  </conditionalFormatting>
  <conditionalFormatting sqref="B79">
    <cfRule type="duplicateValues" dxfId="84" priority="88"/>
  </conditionalFormatting>
  <conditionalFormatting sqref="C79:D79">
    <cfRule type="duplicateValues" dxfId="83" priority="87"/>
  </conditionalFormatting>
  <conditionalFormatting sqref="E79">
    <cfRule type="duplicateValues" dxfId="82" priority="86"/>
  </conditionalFormatting>
  <conditionalFormatting sqref="B80:D80">
    <cfRule type="duplicateValues" dxfId="81" priority="85"/>
  </conditionalFormatting>
  <conditionalFormatting sqref="B81:D81">
    <cfRule type="duplicateValues" dxfId="80" priority="84"/>
  </conditionalFormatting>
  <conditionalFormatting sqref="B82:D82">
    <cfRule type="duplicateValues" dxfId="79" priority="83"/>
  </conditionalFormatting>
  <conditionalFormatting sqref="B83:D83">
    <cfRule type="duplicateValues" dxfId="78" priority="82"/>
  </conditionalFormatting>
  <conditionalFormatting sqref="B84:E84">
    <cfRule type="duplicateValues" dxfId="77" priority="81"/>
  </conditionalFormatting>
  <conditionalFormatting sqref="B87:C87">
    <cfRule type="duplicateValues" dxfId="76" priority="79"/>
  </conditionalFormatting>
  <conditionalFormatting sqref="B88">
    <cfRule type="duplicateValues" dxfId="75" priority="78"/>
  </conditionalFormatting>
  <conditionalFormatting sqref="B85:C85">
    <cfRule type="duplicateValues" dxfId="74" priority="406"/>
  </conditionalFormatting>
  <conditionalFormatting sqref="E77">
    <cfRule type="duplicateValues" dxfId="73" priority="77"/>
  </conditionalFormatting>
  <conditionalFormatting sqref="B90">
    <cfRule type="duplicateValues" dxfId="72" priority="76"/>
  </conditionalFormatting>
  <conditionalFormatting sqref="C90">
    <cfRule type="duplicateValues" dxfId="71" priority="75"/>
  </conditionalFormatting>
  <conditionalFormatting sqref="E90">
    <cfRule type="duplicateValues" dxfId="70" priority="73"/>
  </conditionalFormatting>
  <conditionalFormatting sqref="D90">
    <cfRule type="duplicateValues" dxfId="69" priority="72"/>
  </conditionalFormatting>
  <conditionalFormatting sqref="B93">
    <cfRule type="duplicateValues" dxfId="68" priority="71"/>
  </conditionalFormatting>
  <conditionalFormatting sqref="C93">
    <cfRule type="duplicateValues" dxfId="67" priority="70"/>
  </conditionalFormatting>
  <conditionalFormatting sqref="E93">
    <cfRule type="duplicateValues" dxfId="66" priority="69"/>
  </conditionalFormatting>
  <conditionalFormatting sqref="D93">
    <cfRule type="duplicateValues" dxfId="65" priority="68"/>
  </conditionalFormatting>
  <conditionalFormatting sqref="B94">
    <cfRule type="duplicateValues" dxfId="64" priority="67"/>
  </conditionalFormatting>
  <conditionalFormatting sqref="C94:D94">
    <cfRule type="duplicateValues" dxfId="63" priority="66"/>
  </conditionalFormatting>
  <conditionalFormatting sqref="E94">
    <cfRule type="duplicateValues" dxfId="62" priority="65"/>
  </conditionalFormatting>
  <conditionalFormatting sqref="B95">
    <cfRule type="duplicateValues" dxfId="61" priority="64"/>
  </conditionalFormatting>
  <conditionalFormatting sqref="C95:D95">
    <cfRule type="duplicateValues" dxfId="60" priority="63"/>
  </conditionalFormatting>
  <conditionalFormatting sqref="E95">
    <cfRule type="duplicateValues" dxfId="59" priority="62"/>
  </conditionalFormatting>
  <conditionalFormatting sqref="B96:D96">
    <cfRule type="duplicateValues" dxfId="58" priority="61"/>
  </conditionalFormatting>
  <conditionalFormatting sqref="B98">
    <cfRule type="duplicateValues" dxfId="57" priority="60"/>
  </conditionalFormatting>
  <conditionalFormatting sqref="C98">
    <cfRule type="duplicateValues" dxfId="56" priority="59"/>
  </conditionalFormatting>
  <conditionalFormatting sqref="E98">
    <cfRule type="duplicateValues" dxfId="55" priority="58"/>
  </conditionalFormatting>
  <conditionalFormatting sqref="D98">
    <cfRule type="duplicateValues" dxfId="54" priority="56"/>
  </conditionalFormatting>
  <conditionalFormatting sqref="B100">
    <cfRule type="duplicateValues" dxfId="53" priority="55"/>
  </conditionalFormatting>
  <conditionalFormatting sqref="C100">
    <cfRule type="duplicateValues" dxfId="52" priority="54"/>
  </conditionalFormatting>
  <conditionalFormatting sqref="E100">
    <cfRule type="duplicateValues" dxfId="51" priority="53"/>
  </conditionalFormatting>
  <conditionalFormatting sqref="D100">
    <cfRule type="duplicateValues" dxfId="50" priority="52"/>
  </conditionalFormatting>
  <conditionalFormatting sqref="B102">
    <cfRule type="duplicateValues" dxfId="49" priority="51"/>
  </conditionalFormatting>
  <conditionalFormatting sqref="C102">
    <cfRule type="duplicateValues" dxfId="48" priority="50"/>
  </conditionalFormatting>
  <conditionalFormatting sqref="E102">
    <cfRule type="duplicateValues" dxfId="47" priority="49"/>
  </conditionalFormatting>
  <conditionalFormatting sqref="D102">
    <cfRule type="duplicateValues" dxfId="46" priority="48"/>
  </conditionalFormatting>
  <conditionalFormatting sqref="B104">
    <cfRule type="duplicateValues" dxfId="45" priority="47"/>
  </conditionalFormatting>
  <conditionalFormatting sqref="C104">
    <cfRule type="duplicateValues" dxfId="44" priority="46"/>
  </conditionalFormatting>
  <conditionalFormatting sqref="E104">
    <cfRule type="duplicateValues" dxfId="43" priority="45"/>
  </conditionalFormatting>
  <conditionalFormatting sqref="D104">
    <cfRule type="duplicateValues" dxfId="42" priority="44"/>
  </conditionalFormatting>
  <conditionalFormatting sqref="B106:D106">
    <cfRule type="duplicateValues" dxfId="41" priority="43"/>
  </conditionalFormatting>
  <conditionalFormatting sqref="B107:D107">
    <cfRule type="duplicateValues" dxfId="40" priority="42"/>
  </conditionalFormatting>
  <conditionalFormatting sqref="B108">
    <cfRule type="duplicateValues" dxfId="39" priority="41"/>
  </conditionalFormatting>
  <conditionalFormatting sqref="B121">
    <cfRule type="duplicateValues" dxfId="38" priority="40"/>
  </conditionalFormatting>
  <conditionalFormatting sqref="B123">
    <cfRule type="duplicateValues" dxfId="37" priority="39"/>
  </conditionalFormatting>
  <conditionalFormatting sqref="C121">
    <cfRule type="duplicateValues" dxfId="36" priority="38"/>
  </conditionalFormatting>
  <conditionalFormatting sqref="C123">
    <cfRule type="duplicateValues" dxfId="35" priority="37"/>
  </conditionalFormatting>
  <conditionalFormatting sqref="B124:C124">
    <cfRule type="duplicateValues" dxfId="34" priority="36"/>
  </conditionalFormatting>
  <conditionalFormatting sqref="B135:C135">
    <cfRule type="duplicateValues" dxfId="33" priority="35"/>
  </conditionalFormatting>
  <conditionalFormatting sqref="B138:C138">
    <cfRule type="duplicateValues" dxfId="32" priority="34"/>
  </conditionalFormatting>
  <conditionalFormatting sqref="B125">
    <cfRule type="duplicateValues" dxfId="31" priority="33"/>
  </conditionalFormatting>
  <conditionalFormatting sqref="B126">
    <cfRule type="duplicateValues" dxfId="30" priority="32"/>
  </conditionalFormatting>
  <conditionalFormatting sqref="C126">
    <cfRule type="duplicateValues" dxfId="29" priority="31"/>
  </conditionalFormatting>
  <conditionalFormatting sqref="B141">
    <cfRule type="duplicateValues" dxfId="28" priority="30"/>
  </conditionalFormatting>
  <conditionalFormatting sqref="C141">
    <cfRule type="duplicateValues" dxfId="27" priority="29"/>
  </conditionalFormatting>
  <conditionalFormatting sqref="B117:D117">
    <cfRule type="duplicateValues" dxfId="26" priority="28"/>
  </conditionalFormatting>
  <conditionalFormatting sqref="B130:D130">
    <cfRule type="duplicateValues" dxfId="25" priority="27"/>
  </conditionalFormatting>
  <conditionalFormatting sqref="B131:D131">
    <cfRule type="duplicateValues" dxfId="24" priority="26"/>
  </conditionalFormatting>
  <conditionalFormatting sqref="B132:D132">
    <cfRule type="duplicateValues" dxfId="23" priority="25"/>
  </conditionalFormatting>
  <conditionalFormatting sqref="B133">
    <cfRule type="duplicateValues" dxfId="22" priority="24"/>
  </conditionalFormatting>
  <conditionalFormatting sqref="B118">
    <cfRule type="duplicateValues" dxfId="21" priority="23"/>
  </conditionalFormatting>
  <conditionalFormatting sqref="B136">
    <cfRule type="duplicateValues" dxfId="20" priority="22"/>
  </conditionalFormatting>
  <conditionalFormatting sqref="C136">
    <cfRule type="duplicateValues" dxfId="19" priority="21"/>
  </conditionalFormatting>
  <conditionalFormatting sqref="B139">
    <cfRule type="duplicateValues" dxfId="18" priority="20"/>
  </conditionalFormatting>
  <conditionalFormatting sqref="C139">
    <cfRule type="duplicateValues" dxfId="17" priority="19"/>
  </conditionalFormatting>
  <conditionalFormatting sqref="B115">
    <cfRule type="duplicateValues" dxfId="16" priority="18"/>
  </conditionalFormatting>
  <conditionalFormatting sqref="C115">
    <cfRule type="duplicateValues" dxfId="15" priority="17"/>
  </conditionalFormatting>
  <conditionalFormatting sqref="D115">
    <cfRule type="duplicateValues" dxfId="14" priority="15"/>
  </conditionalFormatting>
  <conditionalFormatting sqref="B127">
    <cfRule type="duplicateValues" dxfId="13" priority="14"/>
  </conditionalFormatting>
  <conditionalFormatting sqref="C127">
    <cfRule type="duplicateValues" dxfId="12" priority="13"/>
  </conditionalFormatting>
  <conditionalFormatting sqref="D127">
    <cfRule type="duplicateValues" dxfId="11" priority="12"/>
  </conditionalFormatting>
  <conditionalFormatting sqref="B140">
    <cfRule type="duplicateValues" dxfId="10" priority="11"/>
  </conditionalFormatting>
  <conditionalFormatting sqref="C140:D140">
    <cfRule type="duplicateValues" dxfId="9" priority="10"/>
  </conditionalFormatting>
  <conditionalFormatting sqref="E140">
    <cfRule type="duplicateValues" dxfId="8" priority="9"/>
  </conditionalFormatting>
  <conditionalFormatting sqref="B111">
    <cfRule type="duplicateValues" dxfId="7" priority="8"/>
  </conditionalFormatting>
  <conditionalFormatting sqref="C111">
    <cfRule type="duplicateValues" dxfId="6" priority="7"/>
  </conditionalFormatting>
  <conditionalFormatting sqref="E111">
    <cfRule type="duplicateValues" dxfId="5" priority="6"/>
  </conditionalFormatting>
  <conditionalFormatting sqref="D111">
    <cfRule type="duplicateValues" dxfId="4" priority="5"/>
  </conditionalFormatting>
  <conditionalFormatting sqref="B142">
    <cfRule type="duplicateValues" dxfId="3" priority="4"/>
  </conditionalFormatting>
  <conditionalFormatting sqref="C142">
    <cfRule type="duplicateValues" dxfId="2" priority="3"/>
  </conditionalFormatting>
  <conditionalFormatting sqref="E142">
    <cfRule type="duplicateValues" dxfId="1" priority="2"/>
  </conditionalFormatting>
  <conditionalFormatting sqref="D14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X38"/>
  <sheetViews>
    <sheetView topLeftCell="A16" workbookViewId="0">
      <selection activeCell="A42" sqref="A42"/>
    </sheetView>
  </sheetViews>
  <sheetFormatPr defaultColWidth="9.140625" defaultRowHeight="14.45"/>
  <cols>
    <col min="1" max="1" width="23.7109375" bestFit="1" customWidth="1"/>
    <col min="3" max="3" width="15.7109375" bestFit="1" customWidth="1"/>
    <col min="5" max="5" width="19.7109375" bestFit="1" customWidth="1"/>
    <col min="7" max="7" width="16.28515625" bestFit="1" customWidth="1"/>
  </cols>
  <sheetData>
    <row r="1" spans="1:24" ht="15" thickBot="1"/>
    <row r="2" spans="1:24" ht="15" thickBot="1">
      <c r="A2" s="71" t="s">
        <v>19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2"/>
      <c r="T2" s="32"/>
      <c r="U2" s="32"/>
      <c r="V2" s="32"/>
      <c r="W2" s="32"/>
      <c r="X2" s="32"/>
    </row>
    <row r="3" spans="1:24" ht="15" thickBot="1">
      <c r="A3" s="73" t="s">
        <v>362</v>
      </c>
      <c r="B3" s="74"/>
      <c r="C3" s="73" t="s">
        <v>363</v>
      </c>
      <c r="D3" s="74"/>
      <c r="E3" s="73" t="s">
        <v>33</v>
      </c>
      <c r="F3" s="74"/>
      <c r="G3" s="73" t="s">
        <v>364</v>
      </c>
      <c r="H3" s="74"/>
      <c r="I3" s="73" t="s">
        <v>365</v>
      </c>
      <c r="J3" s="74"/>
      <c r="K3" s="73" t="s">
        <v>366</v>
      </c>
      <c r="L3" s="74"/>
    </row>
    <row r="4" spans="1:24">
      <c r="A4" s="33" t="s">
        <v>50</v>
      </c>
      <c r="B4" s="34">
        <v>25</v>
      </c>
      <c r="C4" s="33" t="s">
        <v>92</v>
      </c>
      <c r="D4" s="34">
        <v>15</v>
      </c>
      <c r="E4" s="33" t="s">
        <v>52</v>
      </c>
      <c r="F4" s="34">
        <v>35</v>
      </c>
      <c r="G4" s="33" t="s">
        <v>367</v>
      </c>
      <c r="H4" s="34">
        <v>25</v>
      </c>
      <c r="I4" s="33" t="s">
        <v>73</v>
      </c>
      <c r="J4" s="34">
        <v>10</v>
      </c>
      <c r="K4" s="33" t="s">
        <v>55</v>
      </c>
      <c r="L4" s="34">
        <v>35</v>
      </c>
    </row>
    <row r="5" spans="1:24">
      <c r="A5" s="33" t="s">
        <v>368</v>
      </c>
      <c r="B5" s="34">
        <v>15</v>
      </c>
      <c r="C5" s="33" t="s">
        <v>51</v>
      </c>
      <c r="D5" s="34">
        <v>10</v>
      </c>
      <c r="E5" s="33" t="s">
        <v>74</v>
      </c>
      <c r="F5" s="34">
        <v>15</v>
      </c>
      <c r="G5" s="33" t="s">
        <v>53</v>
      </c>
      <c r="H5" s="34">
        <v>15</v>
      </c>
      <c r="I5" s="33" t="s">
        <v>54</v>
      </c>
      <c r="J5" s="34">
        <v>0</v>
      </c>
      <c r="K5" s="33" t="s">
        <v>369</v>
      </c>
      <c r="L5" s="34">
        <v>20</v>
      </c>
    </row>
    <row r="6" spans="1:24">
      <c r="A6" s="33" t="s">
        <v>370</v>
      </c>
      <c r="B6" s="34">
        <v>5</v>
      </c>
      <c r="C6" s="33" t="s">
        <v>73</v>
      </c>
      <c r="D6" s="34">
        <v>0</v>
      </c>
      <c r="E6" s="33" t="s">
        <v>313</v>
      </c>
      <c r="F6" s="34">
        <v>0</v>
      </c>
      <c r="G6" s="33" t="s">
        <v>54</v>
      </c>
      <c r="H6" s="34">
        <v>0</v>
      </c>
      <c r="I6" s="33"/>
      <c r="J6" s="34"/>
      <c r="K6" s="33" t="s">
        <v>69</v>
      </c>
      <c r="L6" s="34">
        <v>10</v>
      </c>
    </row>
    <row r="7" spans="1:24" ht="15" thickBot="1">
      <c r="A7" s="35"/>
      <c r="B7" s="36"/>
      <c r="C7" s="35"/>
      <c r="D7" s="36"/>
      <c r="E7" s="35"/>
      <c r="F7" s="36"/>
      <c r="G7" s="35"/>
      <c r="H7" s="36"/>
      <c r="I7" s="35"/>
      <c r="J7" s="36"/>
      <c r="K7" s="35" t="s">
        <v>78</v>
      </c>
      <c r="L7" s="36">
        <v>5</v>
      </c>
    </row>
    <row r="8" spans="1:24" ht="15" thickBot="1"/>
    <row r="9" spans="1:24" ht="15" thickBot="1">
      <c r="A9" s="71" t="s">
        <v>20</v>
      </c>
      <c r="B9" s="75"/>
      <c r="C9" s="75"/>
      <c r="D9" s="75"/>
      <c r="E9" s="75"/>
      <c r="F9" s="72"/>
      <c r="G9" s="37"/>
      <c r="H9" s="37"/>
      <c r="I9" s="37"/>
      <c r="J9" s="37"/>
      <c r="K9" s="37"/>
      <c r="L9" s="37"/>
    </row>
    <row r="10" spans="1:24" ht="15" thickBot="1">
      <c r="A10" s="73" t="s">
        <v>371</v>
      </c>
      <c r="B10" s="74"/>
      <c r="C10" s="73" t="s">
        <v>372</v>
      </c>
      <c r="D10" s="74"/>
      <c r="E10" s="73" t="s">
        <v>373</v>
      </c>
      <c r="F10" s="74"/>
      <c r="G10" s="76"/>
      <c r="H10" s="76"/>
      <c r="I10" s="76"/>
      <c r="J10" s="76"/>
      <c r="K10" s="76"/>
      <c r="L10" s="76"/>
    </row>
    <row r="11" spans="1:24">
      <c r="A11" s="33" t="s">
        <v>374</v>
      </c>
      <c r="B11" s="34">
        <v>50</v>
      </c>
      <c r="C11" s="33" t="s">
        <v>375</v>
      </c>
      <c r="D11" s="34">
        <v>25</v>
      </c>
      <c r="E11" s="33" t="s">
        <v>376</v>
      </c>
      <c r="F11" s="34">
        <v>25</v>
      </c>
    </row>
    <row r="12" spans="1:24">
      <c r="A12" s="33" t="s">
        <v>56</v>
      </c>
      <c r="B12" s="34">
        <v>35</v>
      </c>
      <c r="C12" s="38" t="s">
        <v>238</v>
      </c>
      <c r="D12" s="34">
        <v>15</v>
      </c>
      <c r="E12" s="33" t="s">
        <v>377</v>
      </c>
      <c r="F12" s="34">
        <v>15</v>
      </c>
    </row>
    <row r="13" spans="1:24" ht="15" thickBot="1">
      <c r="A13" s="35" t="s">
        <v>54</v>
      </c>
      <c r="B13" s="36">
        <v>0</v>
      </c>
      <c r="C13" s="35" t="s">
        <v>57</v>
      </c>
      <c r="D13" s="36">
        <v>0</v>
      </c>
      <c r="E13" s="35" t="s">
        <v>58</v>
      </c>
      <c r="F13" s="36">
        <v>5</v>
      </c>
    </row>
    <row r="14" spans="1:24" ht="15" thickBot="1"/>
    <row r="15" spans="1:24" ht="15" thickBot="1">
      <c r="A15" s="71" t="s">
        <v>2</v>
      </c>
      <c r="B15" s="75"/>
      <c r="C15" s="75"/>
      <c r="D15" s="75"/>
      <c r="E15" s="75"/>
      <c r="F15" s="75"/>
      <c r="G15" s="75"/>
      <c r="H15" s="72"/>
      <c r="I15" s="37"/>
      <c r="J15" s="37"/>
      <c r="K15" s="37"/>
      <c r="L15" s="37"/>
    </row>
    <row r="16" spans="1:24" ht="15" thickBot="1">
      <c r="A16" s="73" t="s">
        <v>39</v>
      </c>
      <c r="B16" s="74"/>
      <c r="C16" s="73" t="s">
        <v>40</v>
      </c>
      <c r="D16" s="74"/>
      <c r="E16" s="73" t="s">
        <v>378</v>
      </c>
      <c r="F16" s="74"/>
      <c r="G16" s="73" t="s">
        <v>379</v>
      </c>
      <c r="H16" s="74"/>
      <c r="I16" s="76"/>
      <c r="J16" s="76"/>
      <c r="K16" s="76"/>
      <c r="L16" s="76"/>
    </row>
    <row r="17" spans="1:12">
      <c r="A17" s="39" t="s">
        <v>60</v>
      </c>
      <c r="B17" s="40">
        <v>20</v>
      </c>
      <c r="C17" s="39" t="s">
        <v>60</v>
      </c>
      <c r="D17" s="40">
        <v>20</v>
      </c>
      <c r="E17" s="41" t="s">
        <v>61</v>
      </c>
      <c r="F17" s="40">
        <v>40</v>
      </c>
      <c r="G17" s="39" t="s">
        <v>66</v>
      </c>
      <c r="H17" s="40">
        <v>10</v>
      </c>
    </row>
    <row r="18" spans="1:12">
      <c r="A18" s="33" t="s">
        <v>59</v>
      </c>
      <c r="B18" s="34">
        <v>15</v>
      </c>
      <c r="C18" s="33" t="s">
        <v>59</v>
      </c>
      <c r="D18" s="34">
        <v>15</v>
      </c>
      <c r="E18" s="38" t="s">
        <v>75</v>
      </c>
      <c r="F18" s="34">
        <v>20</v>
      </c>
      <c r="G18" s="33" t="s">
        <v>62</v>
      </c>
      <c r="H18" s="34">
        <v>5</v>
      </c>
    </row>
    <row r="19" spans="1:12" ht="15" thickBot="1">
      <c r="A19" s="35" t="s">
        <v>70</v>
      </c>
      <c r="B19" s="36">
        <v>5</v>
      </c>
      <c r="C19" s="35" t="s">
        <v>70</v>
      </c>
      <c r="D19" s="36">
        <v>5</v>
      </c>
      <c r="E19" s="42" t="s">
        <v>380</v>
      </c>
      <c r="F19" s="36">
        <v>0</v>
      </c>
      <c r="G19" s="35" t="s">
        <v>76</v>
      </c>
      <c r="H19" s="36">
        <v>0</v>
      </c>
    </row>
    <row r="20" spans="1:12" ht="15" thickBo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</row>
    <row r="21" spans="1:12" ht="15" thickBot="1">
      <c r="A21" s="71" t="s">
        <v>21</v>
      </c>
      <c r="B21" s="72"/>
    </row>
    <row r="22" spans="1:12" ht="15" thickBot="1">
      <c r="A22" s="73" t="s">
        <v>381</v>
      </c>
      <c r="B22" s="74"/>
    </row>
    <row r="23" spans="1:12">
      <c r="A23" s="33" t="s">
        <v>382</v>
      </c>
      <c r="B23" s="34">
        <v>30</v>
      </c>
    </row>
    <row r="24" spans="1:12">
      <c r="A24" s="33" t="s">
        <v>383</v>
      </c>
      <c r="B24" s="34">
        <v>15</v>
      </c>
    </row>
    <row r="25" spans="1:12" ht="15" thickBot="1">
      <c r="A25" s="35" t="s">
        <v>63</v>
      </c>
      <c r="B25" s="36">
        <v>0</v>
      </c>
    </row>
    <row r="26" spans="1:12" ht="15" thickBot="1"/>
    <row r="27" spans="1:12" ht="15" thickBot="1">
      <c r="A27" s="71" t="s">
        <v>384</v>
      </c>
      <c r="B27" s="75"/>
      <c r="C27" s="75"/>
      <c r="D27" s="72"/>
      <c r="E27" s="37"/>
      <c r="F27" s="37"/>
    </row>
    <row r="28" spans="1:12" ht="15" thickBot="1">
      <c r="A28" s="73" t="s">
        <v>385</v>
      </c>
      <c r="B28" s="74"/>
      <c r="C28" s="73" t="s">
        <v>386</v>
      </c>
      <c r="D28" s="74"/>
      <c r="E28" s="76"/>
      <c r="F28" s="76"/>
    </row>
    <row r="29" spans="1:12">
      <c r="A29" s="39" t="s">
        <v>387</v>
      </c>
      <c r="B29" s="40">
        <v>70</v>
      </c>
      <c r="C29" t="s">
        <v>66</v>
      </c>
      <c r="D29" s="34">
        <v>30</v>
      </c>
    </row>
    <row r="30" spans="1:12">
      <c r="A30" s="33" t="s">
        <v>388</v>
      </c>
      <c r="B30" s="34">
        <v>50</v>
      </c>
      <c r="C30" t="s">
        <v>389</v>
      </c>
      <c r="D30" s="34">
        <v>15</v>
      </c>
    </row>
    <row r="31" spans="1:12">
      <c r="A31" s="33" t="s">
        <v>390</v>
      </c>
      <c r="B31" s="34">
        <v>30</v>
      </c>
      <c r="C31" t="s">
        <v>92</v>
      </c>
      <c r="D31" s="34">
        <v>0</v>
      </c>
    </row>
    <row r="32" spans="1:12" ht="15" thickBot="1">
      <c r="A32" s="35" t="s">
        <v>92</v>
      </c>
      <c r="B32" s="36">
        <v>0</v>
      </c>
      <c r="C32" s="43"/>
      <c r="D32" s="36"/>
    </row>
    <row r="33" spans="1:2" ht="15" thickBot="1"/>
    <row r="34" spans="1:2" ht="15" thickBot="1">
      <c r="A34" s="71" t="s">
        <v>23</v>
      </c>
      <c r="B34" s="72"/>
    </row>
    <row r="35" spans="1:2" ht="15" thickBot="1">
      <c r="A35" s="73" t="s">
        <v>391</v>
      </c>
      <c r="B35" s="74"/>
    </row>
    <row r="36" spans="1:2">
      <c r="A36" s="44" t="s">
        <v>64</v>
      </c>
      <c r="B36" s="34">
        <v>0</v>
      </c>
    </row>
    <row r="37" spans="1:2">
      <c r="A37" s="45">
        <v>2.2999999999999998</v>
      </c>
      <c r="B37" s="34">
        <v>10</v>
      </c>
    </row>
    <row r="38" spans="1:2" ht="15" thickBot="1">
      <c r="A38" s="46" t="s">
        <v>392</v>
      </c>
      <c r="B38" s="36">
        <v>25</v>
      </c>
    </row>
  </sheetData>
  <mergeCells count="35">
    <mergeCell ref="A2:L2"/>
    <mergeCell ref="A3:B3"/>
    <mergeCell ref="C3:D3"/>
    <mergeCell ref="E3:F3"/>
    <mergeCell ref="G3:H3"/>
    <mergeCell ref="I3:J3"/>
    <mergeCell ref="K3:L3"/>
    <mergeCell ref="A9:F9"/>
    <mergeCell ref="A10:B10"/>
    <mergeCell ref="C10:D10"/>
    <mergeCell ref="E10:F10"/>
    <mergeCell ref="G10:H10"/>
    <mergeCell ref="I20:J20"/>
    <mergeCell ref="K20:L20"/>
    <mergeCell ref="K10:L10"/>
    <mergeCell ref="A15:H15"/>
    <mergeCell ref="A16:B16"/>
    <mergeCell ref="C16:D16"/>
    <mergeCell ref="E16:F16"/>
    <mergeCell ref="G16:H16"/>
    <mergeCell ref="I16:J16"/>
    <mergeCell ref="K16:L16"/>
    <mergeCell ref="I10:J10"/>
    <mergeCell ref="E28:F28"/>
    <mergeCell ref="A20:B20"/>
    <mergeCell ref="C20:D20"/>
    <mergeCell ref="E20:F20"/>
    <mergeCell ref="G20:H20"/>
    <mergeCell ref="A34:B34"/>
    <mergeCell ref="A35:B35"/>
    <mergeCell ref="A21:B21"/>
    <mergeCell ref="A22:B22"/>
    <mergeCell ref="A27:D27"/>
    <mergeCell ref="A28:B28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Ait Chaib, Othman</cp:lastModifiedBy>
  <cp:revision/>
  <dcterms:created xsi:type="dcterms:W3CDTF">2015-06-05T18:19:34Z</dcterms:created>
  <dcterms:modified xsi:type="dcterms:W3CDTF">2026-04-08T16:38:09Z</dcterms:modified>
  <cp:category/>
  <cp:contentStatus/>
</cp:coreProperties>
</file>