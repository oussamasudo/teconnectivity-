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58" firstSheet="0" activeTab="0" autoFilterDateGrouping="1"/>
  </bookViews>
  <sheets>
    <sheet xmlns:r="http://schemas.openxmlformats.org/officeDocument/2006/relationships" name="Recording" sheetId="1" state="visible" r:id="rId1"/>
    <sheet xmlns:r="http://schemas.openxmlformats.org/officeDocument/2006/relationships" name="Data analysis" sheetId="2" state="hidden" r:id="rId2"/>
    <sheet xmlns:r="http://schemas.openxmlformats.org/officeDocument/2006/relationships" name="Action plan" sheetId="3" state="visible" r:id="rId3"/>
    <sheet xmlns:r="http://schemas.openxmlformats.org/officeDocument/2006/relationships" name="Donnée" sheetId="4" state="hidden" r:id="rId4"/>
  </sheets>
  <externalReferences>
    <externalReference xmlns:r="http://schemas.openxmlformats.org/officeDocument/2006/relationships" r:id="rId6"/>
  </externalReferences>
  <definedNames>
    <definedName name="CCAO">#REF!</definedName>
    <definedName name="dia">#N/A</definedName>
    <definedName name="dial">#N/A</definedName>
    <definedName name="Kontr">#N/A</definedName>
    <definedName name="M">#N/A</definedName>
    <definedName name="NajdiaOznač">#N/A</definedName>
    <definedName name="NajdiaVymaž">#N/A</definedName>
    <definedName name="RESOLVERS">#REF!</definedName>
    <definedName name="TB">#REF!</definedName>
    <definedName name="TEMINAL_BLOC">#REF!</definedName>
    <definedName name="TERMINAL_BLOC">#REF!</definedName>
    <definedName name="TERMINAL8BLOC">#REF!</definedName>
    <definedName name="tisk">[1]!tisk</definedName>
    <definedName name="tisk_druhé_strany">[1]!tisk_druhé_strany</definedName>
    <definedName name="ZadáníCmk">#N/A</definedName>
    <definedName name="tisk" localSheetId="3">[1]!tisk</definedName>
    <definedName name="tisk_druhé_strany" localSheetId="3">[1]!tisk_druhé_strany</definedName>
  </definedNames>
  <calcPr calcId="191029" fullCalcOnLoad="1"/>
  <pivotCaches>
    <pivotCache xmlns:r="http://schemas.openxmlformats.org/officeDocument/2006/relationships" cacheId="0" r:id="rId5"/>
  </pivotCaches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4"/>
      <u val="single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0"/>
      <sz val="16"/>
      <scheme val="minor"/>
    </font>
    <font>
      <name val="Calibri"/>
      <family val="2"/>
      <color rgb="FF000000"/>
      <sz val="16"/>
    </font>
    <font>
      <name val="Aptos Narrow"/>
      <family val="2"/>
      <b val="1"/>
      <color theme="1" tint="0.0499893185216834"/>
      <sz val="8"/>
      <scheme val="minor"/>
    </font>
    <font>
      <name val="Aptos Narrow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90">
    <xf numFmtId="0" fontId="0" fillId="0" borderId="0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3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9" fontId="0" fillId="0" borderId="0" pivotButton="0" quotePrefix="0" xfId="1"/>
    <xf numFmtId="0" fontId="8" fillId="4" borderId="32" applyAlignment="1" pivotButton="0" quotePrefix="0" xfId="0">
      <alignment horizontal="center" vertical="center"/>
    </xf>
    <xf numFmtId="0" fontId="8" fillId="4" borderId="33" applyAlignment="1" pivotButton="0" quotePrefix="0" xfId="0">
      <alignment horizontal="center" vertical="center"/>
    </xf>
    <xf numFmtId="0" fontId="7" fillId="0" borderId="0" pivotButton="0" quotePrefix="0" xfId="0"/>
    <xf numFmtId="0" fontId="7" fillId="5" borderId="34" pivotButton="0" quotePrefix="0" xfId="0"/>
    <xf numFmtId="0" fontId="7" fillId="0" borderId="34" pivotButton="0" quotePrefix="0" xfId="0"/>
    <xf numFmtId="0" fontId="9" fillId="0" borderId="0" pivotButton="0" quotePrefix="0" xfId="0"/>
    <xf numFmtId="0" fontId="8" fillId="4" borderId="37" applyAlignment="1" pivotButton="0" quotePrefix="0" xfId="0">
      <alignment horizontal="center" vertical="center"/>
    </xf>
    <xf numFmtId="0" fontId="7" fillId="0" borderId="29" pivotButton="0" quotePrefix="0" xfId="0"/>
    <xf numFmtId="0" fontId="8" fillId="4" borderId="35" applyAlignment="1" pivotButton="0" quotePrefix="0" xfId="0">
      <alignment horizontal="center" vertical="center"/>
    </xf>
    <xf numFmtId="0" fontId="7" fillId="5" borderId="36" pivotButton="0" quotePrefix="0" xfId="0"/>
    <xf numFmtId="0" fontId="7" fillId="0" borderId="36" pivotButton="0" quotePrefix="0" xfId="0"/>
    <xf numFmtId="0" fontId="7" fillId="5" borderId="29" pivotButton="0" quotePrefix="0" xfId="0"/>
    <xf numFmtId="0" fontId="10" fillId="3" borderId="28" applyAlignment="1" pivotButton="0" quotePrefix="0" xfId="0">
      <alignment horizontal="center" vertical="center" wrapText="1"/>
    </xf>
    <xf numFmtId="0" fontId="10" fillId="3" borderId="25" applyAlignment="1" pivotButton="0" quotePrefix="0" xfId="0">
      <alignment horizontal="center" vertical="center" wrapText="1"/>
    </xf>
    <xf numFmtId="0" fontId="10" fillId="3" borderId="26" applyAlignment="1" pivotButton="0" quotePrefix="0" xfId="0">
      <alignment horizontal="center" vertical="center" wrapText="1"/>
    </xf>
    <xf numFmtId="0" fontId="10" fillId="3" borderId="2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2" fillId="7" borderId="38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15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 vertical="center"/>
    </xf>
    <xf numFmtId="17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/>
    </xf>
    <xf numFmtId="0" fontId="0" fillId="0" borderId="39" pivotButton="0" quotePrefix="0" xfId="0"/>
    <xf numFmtId="0" fontId="0" fillId="0" borderId="2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45" pivotButton="0" quotePrefix="0" xfId="0"/>
    <xf numFmtId="0" fontId="0" fillId="0" borderId="7" pivotButton="0" quotePrefix="0" xfId="0"/>
    <xf numFmtId="0" fontId="4" fillId="0" borderId="5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0" fillId="0" borderId="0" pivotButton="0" quotePrefix="0" xfId="0"/>
    <xf numFmtId="0" fontId="0" fillId="0" borderId="51" pivotButton="0" quotePrefix="0" xfId="0"/>
    <xf numFmtId="17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46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46" applyAlignment="1" pivotButton="0" quotePrefix="0" xfId="0">
      <alignment horizontal="left" vertical="center"/>
    </xf>
  </cellXfs>
  <cellStyles count="2">
    <cellStyle name="Normal" xfId="0" builtinId="0"/>
    <cellStyle name="Percent" xfId="1" builtinId="5"/>
  </cellStyles>
  <dxfs count="3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fill>
        <patternFill patternType="solid">
          <fgColor theme="0" tint="-0.1499984740745262"/>
          <bgColor theme="0" tint="-0.1499984740745262"/>
        </patternFill>
      </fill>
      <alignment horizontal="left" vertical="center"/>
      <border>
        <left style="medium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center"/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  <border>
        <left style="medium">
          <color indexed="64"/>
        </left>
        <right style="medium">
          <color indexed="64"/>
        </right>
        <vertic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  <border>
        <left style="medium">
          <color indexed="64"/>
        </left>
        <right style="medium">
          <color indexed="64"/>
        </right>
        <vertical/>
      </border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  <border>
        <left style="medium">
          <color auto="1"/>
        </left>
        <right style="medium">
          <color auto="1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</dxf>
    <dxf>
      <border outline="0">
        <bottom style="thin">
          <color theme="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6"/>
        <vertAlign val="baseline"/>
        <scheme val="minor"/>
      </font>
      <fill>
        <patternFill patternType="solid">
          <fgColor theme="1"/>
          <bgColor theme="1"/>
        </patternFill>
      </fill>
      <alignment horizontal="center" vertical="center"/>
    </dxf>
    <dxf>
      <numFmt numFmtId="0" formatCode="General"/>
    </dxf>
    <dxf>
      <fill>
        <patternFill>
          <bgColor theme="0"/>
        </patternFill>
      </fill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left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/>
      <border outline="0">
        <left/>
        <right style="medium">
          <color rgb="FF000000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left" vertical="center" wrapText="1"/>
      <border outline="0">
        <left/>
        <right style="medium">
          <color rgb="FF000000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bgColor theme="0"/>
        </patternFill>
      </fill>
      <alignment horizontal="center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0" formatCode="General"/>
      <fill>
        <patternFill>
          <bgColor theme="0"/>
        </patternFill>
      </fill>
      <alignment horizontal="center" vertical="center"/>
      <border outline="0">
        <left style="medium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0" formatCode="General"/>
      <fill>
        <patternFill>
          <bgColor theme="0"/>
        </patternFill>
      </fill>
      <alignment horizontal="center" vertical="center"/>
      <border outline="0">
        <left style="medium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 outline="0">
        <bottom style="thin">
          <color rgb="FF000000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 tint="0.0499893185216834"/>
        <extend val="0"/>
        <sz val="8"/>
        <vertAlign val="baseline"/>
        <scheme val="minor"/>
      </font>
      <fill>
        <patternFill patternType="solid">
          <fgColor indexed="64"/>
          <bgColor rgb="FFFFC000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[Thor - Corrective maintenance follow-up.xlsx]Data analysis!PivotTable28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Assembly Area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analysis'!$B$13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'Data analysis'!$A$14:$A$56</f>
              <strCache>
                <ptCount val="42"/>
                <pt idx="0">
                  <v>BAM</v>
                </pt>
                <pt idx="1">
                  <v>M4/6</v>
                </pt>
                <pt idx="2">
                  <v xml:space="preserve">Ensacheuse Automatique </v>
                </pt>
                <pt idx="3">
                  <v>SNK 5</v>
                </pt>
                <pt idx="4">
                  <v>Test</v>
                </pt>
                <pt idx="5">
                  <v>Komax Gamma</v>
                </pt>
                <pt idx="6">
                  <v>EcoCut</v>
                </pt>
                <pt idx="7">
                  <v>G-PRESS de Sertissage 2 TE</v>
                </pt>
                <pt idx="8">
                  <v>Press Manuel</v>
                </pt>
                <pt idx="9">
                  <v>ZS6</v>
                </pt>
                <pt idx="10">
                  <v>G-Press</v>
                </pt>
                <pt idx="11">
                  <v>HR Dénudeuse 4 fils</v>
                </pt>
                <pt idx="12">
                  <v>Winding Machine Stator K11666</v>
                </pt>
                <pt idx="13">
                  <v>Applicateur</v>
                </pt>
                <pt idx="14">
                  <v>G-PRESS de Sertissage 3 TE</v>
                </pt>
                <pt idx="15">
                  <v>Cutting Rail Automatique</v>
                </pt>
                <pt idx="16">
                  <v>Denudeuse</v>
                </pt>
                <pt idx="17">
                  <v xml:space="preserve">HR Connector assembly </v>
                </pt>
                <pt idx="18">
                  <v xml:space="preserve">Alpha Jet Noir </v>
                </pt>
                <pt idx="19">
                  <v>Machine de sertissage</v>
                </pt>
                <pt idx="20">
                  <v>ZK2.5</v>
                </pt>
                <pt idx="21">
                  <v>BOY 3</v>
                </pt>
                <pt idx="22">
                  <v>Komax Alpha</v>
                </pt>
                <pt idx="23">
                  <v xml:space="preserve">RC </v>
                </pt>
                <pt idx="24">
                  <v>Ultrasonic 4</v>
                </pt>
                <pt idx="25">
                  <v>Ultrasonic 1</v>
                </pt>
                <pt idx="26">
                  <v>Winding Machine Rotor K06677</v>
                </pt>
                <pt idx="27">
                  <v>Machine de dénudage</v>
                </pt>
                <pt idx="28">
                  <v>Test 2 : MARTA 2-2</v>
                </pt>
                <pt idx="29">
                  <v xml:space="preserve">Power Strip 1 </v>
                </pt>
                <pt idx="30">
                  <v>ZS4</v>
                </pt>
                <pt idx="31">
                  <v>SNK 6</v>
                </pt>
                <pt idx="32">
                  <v>BAZ1</v>
                </pt>
                <pt idx="33">
                  <v>G-PRESS de Sertissage 4-AMP</v>
                </pt>
                <pt idx="34">
                  <v xml:space="preserve">Laser Marking System </v>
                </pt>
                <pt idx="35">
                  <v>HR Gpress StripCrimp</v>
                </pt>
                <pt idx="36">
                  <v>Test 2 : MARTA 4-1</v>
                </pt>
                <pt idx="37">
                  <v>SNK 2</v>
                </pt>
                <pt idx="38">
                  <v>G-PRESS de Sertissage 1 TE</v>
                </pt>
                <pt idx="39">
                  <v>BOY 5</v>
                </pt>
                <pt idx="40">
                  <v>Power Strip 2</v>
                </pt>
                <pt idx="41">
                  <v>(blank)</v>
                </pt>
              </strCache>
            </strRef>
          </cat>
          <val>
            <numRef>
              <f>'Data analysis'!$B$14:$B$56</f>
              <numCache>
                <formatCode>General</formatCode>
                <ptCount val="42"/>
                <pt idx="0">
                  <v>700</v>
                </pt>
                <pt idx="1">
                  <v>680</v>
                </pt>
                <pt idx="2">
                  <v>565</v>
                </pt>
                <pt idx="3">
                  <v>525</v>
                </pt>
                <pt idx="4">
                  <v>255</v>
                </pt>
                <pt idx="5">
                  <v>245</v>
                </pt>
                <pt idx="6">
                  <v>200</v>
                </pt>
                <pt idx="7">
                  <v>190</v>
                </pt>
                <pt idx="8">
                  <v>170</v>
                </pt>
                <pt idx="9">
                  <v>140</v>
                </pt>
                <pt idx="10">
                  <v>115</v>
                </pt>
                <pt idx="11">
                  <v>105</v>
                </pt>
                <pt idx="12">
                  <v>105</v>
                </pt>
                <pt idx="13">
                  <v>100</v>
                </pt>
                <pt idx="14">
                  <v>85</v>
                </pt>
                <pt idx="15">
                  <v>75</v>
                </pt>
                <pt idx="16">
                  <v>75</v>
                </pt>
                <pt idx="17">
                  <v>55</v>
                </pt>
                <pt idx="18">
                  <v>50</v>
                </pt>
                <pt idx="19">
                  <v>50</v>
                </pt>
                <pt idx="20">
                  <v>45</v>
                </pt>
                <pt idx="21">
                  <v>40</v>
                </pt>
                <pt idx="22">
                  <v>35</v>
                </pt>
                <pt idx="23">
                  <v>35</v>
                </pt>
                <pt idx="24">
                  <v>35</v>
                </pt>
                <pt idx="25">
                  <v>35</v>
                </pt>
                <pt idx="26">
                  <v>30</v>
                </pt>
                <pt idx="27">
                  <v>30</v>
                </pt>
                <pt idx="28">
                  <v>30</v>
                </pt>
                <pt idx="29">
                  <v>30</v>
                </pt>
                <pt idx="30">
                  <v>30</v>
                </pt>
                <pt idx="31">
                  <v>25</v>
                </pt>
                <pt idx="32">
                  <v>25</v>
                </pt>
                <pt idx="33">
                  <v>25</v>
                </pt>
                <pt idx="34">
                  <v>20</v>
                </pt>
                <pt idx="35">
                  <v>20</v>
                </pt>
                <pt idx="36">
                  <v>20</v>
                </pt>
                <pt idx="37">
                  <v>20</v>
                </pt>
                <pt idx="38">
                  <v>15</v>
                </pt>
                <pt idx="39">
                  <v>15</v>
                </pt>
                <pt idx="40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58977064"/>
        <axId val="858973104"/>
      </barChart>
      <catAx>
        <axId val="8589770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58973104"/>
        <crosses val="autoZero"/>
        <auto val="1"/>
        <lblAlgn val="ctr"/>
        <lblOffset val="100"/>
        <noMultiLvlLbl val="0"/>
      </catAx>
      <valAx>
        <axId val="858973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5897706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670469</colOff>
      <row>0</row>
      <rowOff>11657</rowOff>
    </from>
    <ext cx="1019174" cy="40502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0469" y="11657"/>
          <a:ext cx="1019174" cy="4050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>
    <from>
      <col>3</col>
      <colOff>734331</colOff>
      <row>13</row>
      <rowOff>97971</rowOff>
    </from>
    <to>
      <col>12</col>
      <colOff>557892</colOff>
      <row>49</row>
      <rowOff>105682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0</col>
      <colOff>161926</colOff>
      <row>0</row>
      <rowOff>47628</rowOff>
    </from>
    <ext cx="1019174" cy="40502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8751" y="44453"/>
          <a:ext cx="1019174" cy="4050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161926</colOff>
      <row>0</row>
      <rowOff>47628</rowOff>
    </from>
    <ext cx="1019174" cy="40502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1926" y="47628"/>
          <a:ext cx="1019174" cy="4050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403680</colOff>
      <row>0</row>
      <rowOff>8167</rowOff>
    </from>
    <ext cx="1019174" cy="40502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3680" y="8167"/>
          <a:ext cx="1019174" cy="4050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O:\FORMULARE_CZ\x-R%20karta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x-R"/>
      <sheetName val="Kontrola výpočtů"/>
      <sheetName val="xxx"/>
      <sheetName val="druhá strana"/>
      <sheetName val="Modul1"/>
      <sheetName val="Dialog1"/>
      <sheetName val="Dialog3"/>
      <sheetName val="Dialog2"/>
      <sheetName val="x-R karta"/>
      <sheetName val="Kontrola_výpočtů"/>
      <sheetName val="druhá_strana"/>
      <sheetName val="x-R_karta"/>
      <sheetName val="Kontrola_výpočtů1"/>
      <sheetName val="druhá_strana1"/>
      <sheetName val="x-R_karta1"/>
      <sheetName val="4"/>
    </sheetNames>
    <definedNames>
      <definedName name="tisk"/>
      <definedName name="tisk_druhé_stran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Ballouk, Soufiane" refreshedDate="45700.37740231481" createdVersion="8" refreshedVersion="8" minRefreshableVersion="3" recordCount="419" r:id="rId1">
  <cacheSource type="worksheet">
    <worksheetSource ref="A5:N232" sheet="Recording"/>
  </cacheSource>
  <cacheFields count="14">
    <cacheField name="Date " uniqueList="1" numFmtId="0" sqlType="0" hierarchy="0" level="0" databaseField="1">
      <sharedItems count="0" containsBlank="1" containsDate="1" containsNonDate="0" containsString="0" minDate="2025-02-03T00:00:00" maxDate="2025-02-20T00:00:00"/>
    </cacheField>
    <cacheField name="Semaine" uniqueList="1" numFmtId="0" sqlType="0" hierarchy="0" level="0" databaseField="1">
      <sharedItems count="226" containsInteger="1" containsNumber="1" containsSemiMixedTypes="0" containsString="0" minValue="0" maxValue="225">
        <n v="6"/>
        <n v="7"/>
        <n v="8"/>
        <n v="0"/>
        <n v="1" u="1"/>
        <n v="2" u="1"/>
        <n v="3" u="1"/>
        <n v="4" u="1"/>
        <n v="5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203" u="1"/>
        <n v="204" u="1"/>
        <n v="205" u="1"/>
        <n v="206" u="1"/>
        <n v="207" u="1"/>
        <n v="208" u="1"/>
        <n v="209" u="1"/>
        <n v="210" u="1"/>
        <n v="211" u="1"/>
        <n v="212" u="1"/>
        <n v="213" u="1"/>
        <n v="214" u="1"/>
        <n v="215" u="1"/>
        <n v="216" u="1"/>
        <n v="217" u="1"/>
        <n v="218" u="1"/>
        <n v="219" u="1"/>
        <n v="220" u="1"/>
        <n v="221" u="1"/>
        <n v="222" u="1"/>
        <n v="223" u="1"/>
        <n v="224" u="1"/>
        <n v="225" u="1"/>
      </sharedItems>
    </cacheField>
    <cacheField name="Mois" uniqueList="1" numFmtId="0" sqlType="0" hierarchy="0" level="0" databaseField="1">
      <sharedItems count="5" containsInteger="1" containsNumber="1" containsSemiMixedTypes="0" containsString="0" minValue="1" maxValue="5">
        <n v="2"/>
        <n v="1"/>
        <n v="3" u="1"/>
        <n v="4" u="1"/>
        <n v="5" u="1"/>
      </sharedItems>
    </cacheField>
    <cacheField name="Shift" uniqueList="1" numFmtId="0" sqlType="0" hierarchy="0" level="0" databaseField="1">
      <sharedItems count="0" containsBlank="1"/>
    </cacheField>
    <cacheField name="PROJET" uniqueList="1" numFmtId="0" sqlType="0" hierarchy="0" level="0" databaseField="1">
      <sharedItems count="5" containsBlank="1">
        <s v="CCAO"/>
        <s v="TB"/>
        <s v="RESOLVERS"/>
        <m/>
        <s v="TERMINAL_BLOC" u="1"/>
      </sharedItems>
    </cacheField>
    <cacheField name="Machine" uniqueList="1" numFmtId="0" sqlType="0" hierarchy="0" level="0" databaseField="1">
      <sharedItems count="70" containsBlank="1">
        <s v="Applicateur"/>
        <s v="EcoCut"/>
        <s v="Ultrasonic 1"/>
        <s v="Machine de sertissage"/>
        <s v="Machine de dénudage"/>
        <s v="Test"/>
        <s v="HR Connector assembly "/>
        <s v="BAM"/>
        <s v="ZS6"/>
        <s v="BAZ1"/>
        <s v="SNK 5"/>
        <s v="G-PRESS de Sertissage 3 TE"/>
        <s v="G-PRESS de Sertissage 2 TE"/>
        <s v="Laser Marking System "/>
        <s v="Winding Machine Stator K11666"/>
        <s v="ZS4"/>
        <s v="Komax Gamma"/>
        <s v="Press Manuel"/>
        <s v="Ensacheuse Automatique "/>
        <s v="ZK2.5"/>
        <s v="G-PRESS de Sertissage 4-AMP"/>
        <s v="Denudeuse"/>
        <s v="RC "/>
        <s v="Komax Alpha"/>
        <s v="HR Dénudeuse 4 fils"/>
        <s v="HR Gpress StripCrimp"/>
        <s v="Ultrasonic 4"/>
        <s v="M4/6"/>
        <s v="Test 2 : MARTA 4-1"/>
        <s v="SNK 2"/>
        <s v="Winding Machine Rotor K06677"/>
        <m/>
        <s v="SNK 6"/>
        <s v="Cutting Rail Automatique"/>
        <s v="Alpha Jet Noir "/>
        <s v="G-Press"/>
        <s v="BOY 3"/>
        <s v="Power Strip 1 "/>
        <s v="Test 2 : MARTA 2-2"/>
        <s v="G-PRESS de Sertissage 1 TE"/>
        <s v="BOY 5"/>
        <s v="Power Strip 2"/>
        <s v="Scemi" u="1"/>
        <s v="PAD PRINTING 1" u="1"/>
        <s v="Multitester " u="1"/>
        <s v="Tableau de séparation" u="1"/>
        <s v="MA2.5" u="1"/>
        <s v="BALTEC" u="1"/>
        <s v="Test 3 : MARTA 5-1" u="1"/>
        <s v="Winding Machine Stator K06676" u="1"/>
        <s v="Winding Machine Stator K10519" u="1"/>
        <s v="Winding Machine Stator K11866" u="1"/>
        <s v="Ultrasonic 3" u="1"/>
        <s v="Ultrasonic 2" u="1"/>
        <s v="Servo" u="1"/>
        <s v="Four Metalorigor 2" u="1"/>
        <s v="Test 4 : MARTA 5-2" u="1"/>
        <s v="Komax Zeta" u="1"/>
        <s v="LR Dénudeuse 4 fils " u="1"/>
        <s v="BOY 1" u="1"/>
        <s v="Tour d'Usinage " u="1"/>
        <s v="Machine d'Etamage" u="1"/>
        <s v="Laser" u="1"/>
        <s v="telegartner" u="1"/>
        <s v="Sertissage des Broches " u="1"/>
        <s v="FOUR PMT" u="1"/>
        <s v="Ultrasonic 5" u="1"/>
        <s v="Winding Machine Rotor K05522" u="1"/>
        <s v="Winding Machine Rotor K10520" u="1"/>
        <s v="Laser Welding HAAS " u="1"/>
      </sharedItems>
    </cacheField>
    <cacheField name="Outil _x000a_(Applicateur, Test, Tableau, Press manuelle)" uniqueList="1" numFmtId="0" sqlType="0" hierarchy="0" level="0" databaseField="1">
      <sharedItems count="0" containsBlank="1"/>
    </cacheField>
    <cacheField name="Type d'intervention" uniqueList="1" numFmtId="0" sqlType="0" hierarchy="0" level="0" databaseField="1">
      <sharedItems count="0" containsBlank="1"/>
    </cacheField>
    <cacheField name="Intervenant" uniqueList="1" numFmtId="0" sqlType="0" hierarchy="0" level="0" databaseField="1">
      <sharedItems count="0" containsBlank="1"/>
    </cacheField>
    <cacheField name="Durée de l'Arrêt_x000a_(min)" uniqueList="1" numFmtId="0" sqlType="0" hierarchy="0" level="0" databaseField="1">
      <sharedItems count="0" containsBlank="1" containsInteger="1" containsNumber="1" containsString="0" minValue="10" maxValue="460"/>
    </cacheField>
    <cacheField name="Problème" uniqueList="1" numFmtId="0" sqlType="0" hierarchy="0" level="0" databaseField="1">
      <sharedItems count="0" containsBlank="1"/>
    </cacheField>
    <cacheField name="Détails de l'intervention" uniqueList="1" numFmtId="0" sqlType="0" hierarchy="0" level="0" databaseField="1">
      <sharedItems count="0" containsBlank="1"/>
    </cacheField>
    <cacheField name="Status Intervention" uniqueList="1" numFmtId="0" sqlType="0" hierarchy="0" level="0" databaseField="1">
      <sharedItems count="0" containsBlank="1"/>
    </cacheField>
    <cacheField name="Risque de Sécurité (après l'intervention Maintenance) 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419">
  <r>
    <d v="2025-02-03T00:00:00"/>
    <x v="0"/>
    <x v="0"/>
    <s v="Mohamed BENDAOUD"/>
    <x v="0"/>
    <x v="0"/>
    <s v="SIEMENS"/>
    <s v="SETUP APPLICATEUR"/>
    <s v="LARHIOUCH RACHID"/>
    <n v="50"/>
    <s v="pb applicateur"/>
    <s v="reglage mecanique"/>
    <s v="Terminer"/>
    <s v="RAS"/>
  </r>
  <r>
    <d v="2025-02-03T00:00:00"/>
    <x v="0"/>
    <x v="0"/>
    <s v="Mohamed BENDAOUD"/>
    <x v="0"/>
    <x v="0"/>
    <s v="OEM"/>
    <s v="SETUP APPLICATEUR"/>
    <s v="LARHIOUCH RACHID"/>
    <n v="50"/>
    <s v="pb applicateurs"/>
    <s v="Ajustement d'avance et reglage mecanique"/>
    <s v="Terminer"/>
    <s v="RAS"/>
  </r>
  <r>
    <d v="2025-02-03T00:00:00"/>
    <x v="0"/>
    <x v="0"/>
    <s v="Mohamed BENDAOUD"/>
    <x v="0"/>
    <x v="1"/>
    <m/>
    <s v="ELECTRIQUE"/>
    <s v="LARHIOUCH RACHID"/>
    <n v="200"/>
    <s v="pb detecteur et blocage"/>
    <s v="reglage detecteiur et nettyage"/>
    <s v="Terminer"/>
    <s v="RAS"/>
  </r>
  <r>
    <d v="2025-02-03T00:00:00"/>
    <x v="0"/>
    <x v="0"/>
    <s v="Mohamed BENDAOUD"/>
    <x v="0"/>
    <x v="2"/>
    <m/>
    <s v="MECANIQUE"/>
    <s v="LARHIOUCH RACHID"/>
    <n v="35"/>
    <s v="pb soudage"/>
    <s v="ajustement des pieces de soudage"/>
    <s v="Terminer"/>
    <s v="RAS"/>
  </r>
  <r>
    <d v="2025-02-03T00:00:00"/>
    <x v="0"/>
    <x v="0"/>
    <s v="Mohamed BENDAOUD"/>
    <x v="0"/>
    <x v="3"/>
    <m/>
    <s v="MECANIQUE"/>
    <s v="Smail EL MOHAMADI"/>
    <n v="20"/>
    <s v="pb applicateur"/>
    <s v="reglage mecanique"/>
    <s v="Terminer"/>
    <s v="RAS"/>
  </r>
  <r>
    <d v="2025-02-03T00:00:00"/>
    <x v="0"/>
    <x v="0"/>
    <s v="Mohamed BENDAOUD"/>
    <x v="0"/>
    <x v="4"/>
    <m/>
    <s v="MECANIQUE"/>
    <s v="ZOUBAIR LAMRABAT"/>
    <n v="30"/>
    <s v="denudage NOK"/>
    <s v="reglage de palpeur et montage de rossort d'ammortissement"/>
    <s v="Terminer"/>
    <s v="RAS"/>
  </r>
  <r>
    <d v="2025-02-03T00:00:00"/>
    <x v="0"/>
    <x v="0"/>
    <s v="Mohamed BENDAOUD"/>
    <x v="0"/>
    <x v="5"/>
    <m/>
    <s v="ELECTRIQUE"/>
    <s v="LARHIOUCH RACHID"/>
    <n v="30"/>
    <s v="pb contre piece"/>
    <s v="chnagement d'alimentation 24 dans la carte et reglage de pin detection"/>
    <s v="Terminer"/>
    <s v="RAS"/>
  </r>
  <r>
    <d v="2025-02-03T00:00:00"/>
    <x v="0"/>
    <x v="0"/>
    <s v="Mohamed BENDAOUD"/>
    <x v="0"/>
    <x v="5"/>
    <m/>
    <s v="MECANIQUE"/>
    <s v="ZOUBAIR LAMRABAT"/>
    <n v="50"/>
    <s v="pb contre piece"/>
    <s v="raglege de contre piece"/>
    <s v="Terminer"/>
    <s v="RAS"/>
  </r>
  <r>
    <d v="2025-02-03T00:00:00"/>
    <x v="0"/>
    <x v="0"/>
    <s v="Mohamed BENDAOUD"/>
    <x v="0"/>
    <x v="6"/>
    <s v="presse de scoba"/>
    <s v="MECANIQUE"/>
    <s v="LARHIOUCH RACHID"/>
    <n v="35"/>
    <s v="pb pin casse"/>
    <s v="changement de pin casse presse scoba"/>
    <s v="Terminer"/>
    <s v="RAS"/>
  </r>
  <r>
    <d v="2025-02-03T00:00:00"/>
    <x v="0"/>
    <x v="0"/>
    <s v="Mohamed BENDAOUD"/>
    <x v="0"/>
    <x v="3"/>
    <s v="2266058-2"/>
    <s v="MECANIQUE"/>
    <s v="BEN DAOUD MOHAMED"/>
    <n v="30"/>
    <s v="pb applicateur"/>
    <s v="reglage d'avance et des griffes"/>
    <s v="Terminer"/>
    <s v="RAS"/>
  </r>
  <r>
    <d v="2025-02-03T00:00:00"/>
    <x v="0"/>
    <x v="0"/>
    <s v="Mohamed BENDAOUD"/>
    <x v="1"/>
    <x v="7"/>
    <m/>
    <s v="MECANIQUE"/>
    <s v="ZOUBAIR LAMRABAT"/>
    <n v="40"/>
    <s v="cassement de support de fibre"/>
    <s v="changement de support casse"/>
    <s v="Terminer"/>
    <s v="RAS"/>
  </r>
  <r>
    <d v="2025-02-03T00:00:00"/>
    <x v="0"/>
    <x v="0"/>
    <s v="Mohamed BENDAOUD"/>
    <x v="1"/>
    <x v="8"/>
    <m/>
    <s v="ELECTRIQUE"/>
    <s v="ZOUBAIR LAMRABAT"/>
    <n v="120"/>
    <s v="blockage de serre fil"/>
    <s v="reglage mecanique et inverssement de detecteur"/>
    <s v="Terminer"/>
    <s v="RAS"/>
  </r>
  <r>
    <d v="2025-02-03T00:00:00"/>
    <x v="0"/>
    <x v="0"/>
    <s v="Mohamed BENDAOUD"/>
    <x v="1"/>
    <x v="9"/>
    <m/>
    <s v="MECANIQUE"/>
    <s v="BEN DAOUD MOHAMED"/>
    <n v="25"/>
    <s v="detection de pied"/>
    <s v="reglage de support de raill et detecteur"/>
    <s v="Terminer"/>
    <s v="RAS"/>
  </r>
  <r>
    <d v="2025-02-03T00:00:00"/>
    <x v="0"/>
    <x v="0"/>
    <s v="Mohamed BENDAOUD"/>
    <x v="1"/>
    <x v="10"/>
    <m/>
    <s v="MECANIQUE"/>
    <s v="ZOUBAIR LAMRABAT"/>
    <n v="35"/>
    <s v="Probleme de separateur"/>
    <s v="reglage mecanique et electrique"/>
    <s v="Terminer"/>
    <s v="RAS"/>
  </r>
  <r>
    <d v="2025-02-03T00:00:00"/>
    <x v="0"/>
    <x v="0"/>
    <s v="Mohamed BENDAOUD"/>
    <x v="1"/>
    <x v="10"/>
    <m/>
    <s v="MECANIQUE"/>
    <s v="Smail EL MOHAMADI"/>
    <n v="30"/>
    <s v="Probleme de separateur"/>
    <s v="reglage mecanique et fixation de verin separateur"/>
    <s v="Terminer"/>
    <s v="RAS"/>
  </r>
  <r>
    <d v="2025-02-03T00:00:00"/>
    <x v="0"/>
    <x v="0"/>
    <s v="Mohamed BENDAOUD"/>
    <x v="2"/>
    <x v="11"/>
    <m/>
    <s v="MECANIQUE"/>
    <s v="LARHIOUCH RACHID"/>
    <n v="30"/>
    <s v="degradation de porte de securitee"/>
    <s v="ajustement de la port et reglage de pixiglasse"/>
    <s v="Terminer"/>
    <s v="RAS"/>
  </r>
  <r>
    <d v="2025-02-03T00:00:00"/>
    <x v="0"/>
    <x v="0"/>
    <s v="Mohamed BENDAOUD"/>
    <x v="2"/>
    <x v="12"/>
    <m/>
    <s v="MECANIQUE"/>
    <s v="Smail EL MOHAMADI"/>
    <n v="40"/>
    <s v="changement d'aplicateur"/>
    <s v="changement de modification fait au applicateur et ajustement"/>
    <s v="Terminer"/>
    <s v="RAS"/>
  </r>
  <r>
    <d v="2025-02-03T00:00:00"/>
    <x v="0"/>
    <x v="0"/>
    <s v="Mohamed BENDAOUD"/>
    <x v="2"/>
    <x v="13"/>
    <m/>
    <s v="ELECTRIQUE"/>
    <s v="Smail EL MOHAMADI"/>
    <n v="20"/>
    <s v="Pb camera "/>
    <s v="reamement et demmarage"/>
    <s v="Terminer"/>
    <s v="RAS"/>
  </r>
  <r>
    <d v="2025-02-03T00:00:00"/>
    <x v="0"/>
    <x v="0"/>
    <s v="Mohamed BENDAOUD"/>
    <x v="2"/>
    <x v="14"/>
    <m/>
    <s v="MECANIQUE"/>
    <s v="Smail EL MOHAMADI"/>
    <n v="30"/>
    <s v="Pb bobonage NOK"/>
    <s v="suivi de machine et reglage d'aiguille"/>
    <s v="Terminer"/>
    <s v="RAS"/>
  </r>
  <r>
    <d v="2025-02-04T00:00:00"/>
    <x v="0"/>
    <x v="0"/>
    <s v="Mohamed BENDAOUD"/>
    <x v="1"/>
    <x v="15"/>
    <m/>
    <s v="ELECTRIQUE"/>
    <s v="ZOUBAIR LAMRABAT"/>
    <n v="30"/>
    <s v="Probleme de poste 9 et 3"/>
    <s v="Reglage + Ajustement position de detecteur + Ajustement position des connecteurs  "/>
    <s v="Terminer"/>
    <s v="RAS"/>
  </r>
  <r>
    <d v="2025-02-04T00:00:00"/>
    <x v="0"/>
    <x v="0"/>
    <s v="Mohamed BENDAOUD"/>
    <x v="0"/>
    <x v="16"/>
    <m/>
    <s v="MECANIQUE"/>
    <s v="LARHIOUCH RACHID"/>
    <n v="150"/>
    <s v="sertissage NOK"/>
    <s v="ajustage position de terminnal"/>
    <s v="Terminer"/>
    <s v="RAS"/>
  </r>
  <r>
    <d v="2025-02-04T00:00:00"/>
    <x v="0"/>
    <x v="0"/>
    <s v="Mohamed BENDAOUD"/>
    <x v="2"/>
    <x v="12"/>
    <m/>
    <s v="MECANIQUE"/>
    <s v="BEN DAOUD MOHAMED"/>
    <n v="20"/>
    <s v="changement d'aplicateur"/>
    <s v="changement d'aplicateur + ajustage denudage et sertissage"/>
    <s v="Terminer"/>
    <s v="RAS"/>
  </r>
  <r>
    <d v="2025-02-04T00:00:00"/>
    <x v="0"/>
    <x v="0"/>
    <s v="Mohamed BENDAOUD"/>
    <x v="2"/>
    <x v="14"/>
    <m/>
    <s v="MECANIQUE"/>
    <s v="Smail EL MOHAMADI"/>
    <n v="20"/>
    <s v="Pb bobonage NOK"/>
    <s v="ajustage position d'aiguille "/>
    <s v="Terminer"/>
    <s v="RAS"/>
  </r>
  <r>
    <d v="2025-02-04T00:00:00"/>
    <x v="0"/>
    <x v="0"/>
    <s v="Mohamed BENDAOUD"/>
    <x v="2"/>
    <x v="11"/>
    <m/>
    <s v="MECANIQUE"/>
    <s v="Smail EL MOHAMADI"/>
    <n v="35"/>
    <s v="changement d'aplicateur"/>
    <s v="changement d'aplicateur + ajustage denudage et sertissage"/>
    <s v="Terminer"/>
    <s v="RAS"/>
  </r>
  <r>
    <d v="2025-02-04T00:00:00"/>
    <x v="0"/>
    <x v="0"/>
    <s v="Mohamed BENDAOUD"/>
    <x v="1"/>
    <x v="17"/>
    <m/>
    <s v="MECANIQUE"/>
    <s v="ZOUBAIR LAMRABAT"/>
    <n v="25"/>
    <m/>
    <s v="Repparation 3 press manuels"/>
    <s v="Terminer"/>
    <s v="RAS"/>
  </r>
  <r>
    <d v="2025-02-04T00:00:00"/>
    <x v="0"/>
    <x v="0"/>
    <s v="Mohamed BENDAOUD"/>
    <x v="0"/>
    <x v="16"/>
    <m/>
    <s v="MECANIQUE"/>
    <s v="LARHIOUCH RACHID"/>
    <n v="30"/>
    <s v="sertissage NOK"/>
    <s v="Ajustement de lavance de applicateur"/>
    <s v="Terminer"/>
    <s v="RAS"/>
  </r>
  <r>
    <d v="2025-02-04T00:00:00"/>
    <x v="0"/>
    <x v="0"/>
    <s v="Mohamed BENDAOUD"/>
    <x v="0"/>
    <x v="6"/>
    <s v="presse scoba"/>
    <s v="MECANIQUE"/>
    <s v="BEN DAOUD MOHAMED"/>
    <n v="20"/>
    <s v="changement les pines"/>
    <s v="changement 2 pine casse"/>
    <s v="Terminer"/>
    <s v="RAS"/>
  </r>
  <r>
    <d v="2025-02-04T00:00:00"/>
    <x v="0"/>
    <x v="0"/>
    <s v="Mohamed BENDAOUD"/>
    <x v="1"/>
    <x v="10"/>
    <m/>
    <s v="MECANIQUE"/>
    <s v="ZOUBAIR LAMRABAT"/>
    <n v="30"/>
    <m/>
    <s v="Reglage la machine + Ajustement"/>
    <s v="Terminer"/>
    <s v="RAS"/>
  </r>
  <r>
    <d v="2025-02-04T00:00:00"/>
    <x v="0"/>
    <x v="0"/>
    <s v="Mohamed BENDAOUD"/>
    <x v="1"/>
    <x v="10"/>
    <m/>
    <s v="MECANIQUE"/>
    <s v="BEN DAOUD MOHAMED"/>
    <n v="220"/>
    <s v="Panne electrique"/>
    <s v="Changement fin de course de porte securité + Cablage a nouveau"/>
    <s v="Terminer"/>
    <s v="RAS"/>
  </r>
  <r>
    <d v="2025-02-04T00:00:00"/>
    <x v="0"/>
    <x v="0"/>
    <s v="Mohamed BENDAOUD"/>
    <x v="1"/>
    <x v="7"/>
    <m/>
    <s v="MECANIQUE"/>
    <s v="ZOUBAIR LAMRABAT"/>
    <n v="50"/>
    <s v="Pb de position bas"/>
    <s v="Réglage de position de la chaine de la machine"/>
    <s v="Terminer"/>
    <s v="RAS"/>
  </r>
  <r>
    <d v="2025-02-05T00:00:00"/>
    <x v="0"/>
    <x v="0"/>
    <s v="Mohamed BENDAOUD"/>
    <x v="1"/>
    <x v="18"/>
    <m/>
    <s v="MECANIQUE"/>
    <s v="ZOUBAIR LAMRABAT"/>
    <n v="35"/>
    <s v="Pb marquage"/>
    <s v="Réglage position de tete"/>
    <s v="Terminer"/>
    <s v="RAS"/>
  </r>
  <r>
    <d v="2025-02-05T00:00:00"/>
    <x v="0"/>
    <x v="0"/>
    <s v="Mohamed BENDAOUD"/>
    <x v="1"/>
    <x v="10"/>
    <m/>
    <s v="MECANIQUE"/>
    <s v="Smail EL MOHAMADI"/>
    <n v="50"/>
    <s v="Panne machine"/>
    <s v="Réglage de la machine"/>
    <s v="Terminer"/>
    <s v="RAS"/>
  </r>
  <r>
    <d v="2025-02-05T00:00:00"/>
    <x v="0"/>
    <x v="0"/>
    <s v="Mohamed BENDAOUD"/>
    <x v="1"/>
    <x v="19"/>
    <m/>
    <s v="ELECTRIQUE"/>
    <s v="BEN DAOUD MOHAMED"/>
    <n v="10"/>
    <s v="Panne machine"/>
    <s v="Rearement de la machine"/>
    <s v="Terminer"/>
    <s v="RAS"/>
  </r>
  <r>
    <d v="2025-02-05T00:00:00"/>
    <x v="0"/>
    <x v="0"/>
    <s v="Mohamed BENDAOUD"/>
    <x v="1"/>
    <x v="18"/>
    <m/>
    <s v="MECANIQUE"/>
    <s v="ZOUBAIR LAMRABAT"/>
    <n v="30"/>
    <s v="Probleme de soudage"/>
    <s v="Réglage de l'ensacheuse"/>
    <s v="Terminer"/>
    <s v="RAS"/>
  </r>
  <r>
    <d v="2025-02-05T00:00:00"/>
    <x v="0"/>
    <x v="0"/>
    <s v="Mohamed BENDAOUD"/>
    <x v="2"/>
    <x v="12"/>
    <m/>
    <s v="MECANIQUE"/>
    <s v="Smail EL MOHAMADI"/>
    <n v="15"/>
    <s v="changement d'aplicateur"/>
    <s v="changement d'aplicateur + ajustage denudage et sertissage"/>
    <s v="Terminer"/>
    <s v="RAS"/>
  </r>
  <r>
    <d v="2025-02-05T00:00:00"/>
    <x v="0"/>
    <x v="0"/>
    <s v="Mohamed BENDAOUD"/>
    <x v="2"/>
    <x v="11"/>
    <m/>
    <s v="MECANIQUE"/>
    <s v="Smail EL MOHAMADI"/>
    <n v="20"/>
    <s v="sertissage NOK"/>
    <s v="ajustage position de terminnal"/>
    <s v="Terminer"/>
    <s v="RAS"/>
  </r>
  <r>
    <d v="2025-02-05T00:00:00"/>
    <x v="0"/>
    <x v="0"/>
    <s v="Mohamed BENDAOUD"/>
    <x v="2"/>
    <x v="20"/>
    <m/>
    <s v="MECANIQUE"/>
    <s v="Smail EL MOHAMADI"/>
    <n v="25"/>
    <s v="Pb capteur de file "/>
    <s v="reglage palpeur de capteur de file "/>
    <s v="Terminer"/>
    <s v="RAS"/>
  </r>
  <r>
    <d v="2025-02-05T00:00:00"/>
    <x v="0"/>
    <x v="0"/>
    <s v="Mohamed BENDAOUD"/>
    <x v="2"/>
    <x v="14"/>
    <m/>
    <s v="MECANIQUE"/>
    <s v="Smail EL MOHAMADI"/>
    <n v="20"/>
    <s v="Pb bobonage NOK"/>
    <s v="change et ajustage position d'aiguille "/>
    <s v="Terminer"/>
    <s v="RAS"/>
  </r>
  <r>
    <d v="2025-02-05T00:00:00"/>
    <x v="0"/>
    <x v="0"/>
    <s v="Mohamed BENDAOUD"/>
    <x v="0"/>
    <x v="21"/>
    <s v="HR"/>
    <s v="MECANIQUE"/>
    <s v="LARHIOUCH RACHID"/>
    <n v="40"/>
    <s v="Pb capteur de file "/>
    <s v="reglage palpeur de capteur de file "/>
    <s v="Terminer"/>
    <s v="RAS"/>
  </r>
  <r>
    <d v="2025-02-05T00:00:00"/>
    <x v="0"/>
    <x v="0"/>
    <s v="Mohamed BENDAOUD"/>
    <x v="2"/>
    <x v="14"/>
    <m/>
    <s v="MECANIQUE"/>
    <s v="Smail EL MOHAMADI"/>
    <n v="35"/>
    <s v="Pb bobonage NOK"/>
    <s v="change et ajustage position d'aiguille "/>
    <s v="Terminer"/>
    <s v="RAS"/>
  </r>
  <r>
    <d v="2025-02-05T00:00:00"/>
    <x v="0"/>
    <x v="0"/>
    <s v="Mohamed BENDAOUD"/>
    <x v="1"/>
    <x v="22"/>
    <m/>
    <s v="MECANIQUE"/>
    <s v="LARHIOUCH RACHID"/>
    <n v="35"/>
    <s v="Pb decalage"/>
    <s v="Réglage position de table"/>
    <s v="Terminer"/>
    <s v="RAS"/>
  </r>
  <r>
    <d v="2025-02-06T00:00:00"/>
    <x v="0"/>
    <x v="0"/>
    <s v="Mohamed BENDAOUD"/>
    <x v="0"/>
    <x v="16"/>
    <s v="2266450-2"/>
    <s v="MECANIQUE"/>
    <s v="BEN DAOUD MOHAMED"/>
    <n v="40"/>
    <s v="pb applicateur"/>
    <s v="ajustement mecanique"/>
    <s v="Terminer"/>
    <s v="RAS"/>
  </r>
  <r>
    <d v="2025-02-06T00:00:00"/>
    <x v="0"/>
    <x v="0"/>
    <s v="Mohamed BENDAOUD"/>
    <x v="0"/>
    <x v="23"/>
    <m/>
    <s v="PARAMETRES"/>
    <s v="BEN DAOUD MOHAMED"/>
    <n v="35"/>
    <s v="pb denedage"/>
    <s v="reglage de parametre"/>
    <s v="Terminer"/>
    <s v="RAS"/>
  </r>
  <r>
    <d v="2025-02-06T00:00:00"/>
    <x v="0"/>
    <x v="0"/>
    <s v="Mohamed BENDAOUD"/>
    <x v="0"/>
    <x v="5"/>
    <s v="contrôle"/>
    <s v="ELECTRIQUE"/>
    <s v="LAHOUCINE LMBARKI"/>
    <n v="60"/>
    <s v="pb pin "/>
    <s v="changement pin et reglage contre piece"/>
    <s v="Terminer"/>
    <s v="RAS"/>
  </r>
  <r>
    <d v="2025-02-06T00:00:00"/>
    <x v="0"/>
    <x v="0"/>
    <s v="Mohamed BENDAOUD"/>
    <x v="0"/>
    <x v="5"/>
    <s v="SIEMENS"/>
    <s v="ELECTRIQUE"/>
    <s v="LAHOUCINE LMBARKI"/>
    <n v="35"/>
    <s v="pb adapteur"/>
    <s v="changement pin casse"/>
    <s v="Terminer"/>
    <s v="RAS"/>
  </r>
  <r>
    <d v="2025-02-06T00:00:00"/>
    <x v="0"/>
    <x v="0"/>
    <s v="Mohamed BENDAOUD"/>
    <x v="0"/>
    <x v="5"/>
    <s v="ligne8"/>
    <s v="ELECTRIQUE"/>
    <s v="BEN DAOUD MOHAMED"/>
    <n v="30"/>
    <s v="pb adapteur"/>
    <s v="reglage contre piece"/>
    <s v="Terminer"/>
    <s v="RAS"/>
  </r>
  <r>
    <d v="2025-02-06T00:00:00"/>
    <x v="0"/>
    <x v="0"/>
    <s v="Mohamed BENDAOUD"/>
    <x v="0"/>
    <x v="24"/>
    <m/>
    <s v="MECANIQUE"/>
    <s v="BEN DAOUD MOHAMED"/>
    <n v="40"/>
    <s v="pb denedage"/>
    <s v="ajustement mecanique et reglage machine"/>
    <s v="Terminer"/>
    <s v="RAS"/>
  </r>
  <r>
    <d v="2025-02-06T00:00:00"/>
    <x v="0"/>
    <x v="0"/>
    <s v="Mohamed BENDAOUD"/>
    <x v="0"/>
    <x v="25"/>
    <m/>
    <s v="PARAMETRES"/>
    <s v="BEN DAOUD MOHAMED"/>
    <n v="20"/>
    <s v="pb sertissage"/>
    <s v="reglage palpeur de capteur de file "/>
    <s v="Terminer"/>
    <s v="RAS"/>
  </r>
  <r>
    <d v="2025-02-06T00:00:00"/>
    <x v="0"/>
    <x v="0"/>
    <s v="Mohamed BENDAOUD"/>
    <x v="0"/>
    <x v="26"/>
    <m/>
    <s v="PARAMETRES"/>
    <s v="BEN DAOUD MOHAMED"/>
    <n v="25"/>
    <s v="pb soudage"/>
    <s v="reglage des pieces de soudage"/>
    <s v="Terminer"/>
    <s v="RAS"/>
  </r>
  <r>
    <d v="2025-02-06T00:00:00"/>
    <x v="0"/>
    <x v="0"/>
    <s v="Mohamed BENDAOUD"/>
    <x v="1"/>
    <x v="10"/>
    <m/>
    <s v="MECANIQUE"/>
    <s v="Smail EL MOHAMADI"/>
    <n v="40"/>
    <s v="pb convoyeur"/>
    <s v="reglage d'acoplement retatif"/>
    <s v="Terminer"/>
    <s v="RAS"/>
  </r>
  <r>
    <d v="2025-02-06T00:00:00"/>
    <x v="0"/>
    <x v="0"/>
    <s v="Mohamed BENDAOUD"/>
    <x v="1"/>
    <x v="7"/>
    <m/>
    <s v="MECANIQUE"/>
    <s v="ZOUBAIR LAMRABAT"/>
    <n v="260"/>
    <s v="pb posage et chaine"/>
    <s v="reglage de courois et synchronisation"/>
    <s v="Terminer"/>
    <s v="RAS"/>
  </r>
  <r>
    <d v="2025-02-06T00:00:00"/>
    <x v="0"/>
    <x v="0"/>
    <s v="Mohamed BENDAOUD"/>
    <x v="1"/>
    <x v="19"/>
    <m/>
    <s v="PNEUMATIQUE"/>
    <s v="ZOUBAIR LAMRABAT"/>
    <n v="35"/>
    <s v="pb insertion rossort"/>
    <s v="reglage de verin 214"/>
    <s v="Terminer"/>
    <s v="RAS"/>
  </r>
  <r>
    <d v="2025-02-06T00:00:00"/>
    <x v="0"/>
    <x v="0"/>
    <s v="Mohamed BENDAOUD"/>
    <x v="1"/>
    <x v="27"/>
    <m/>
    <s v="PNEUMATIQUE"/>
    <s v="ZOUBAIR LAMRABAT"/>
    <n v="30"/>
    <s v="pb poste 26"/>
    <s v="changement raccord et reglage de poste barrette"/>
    <s v="Terminer"/>
    <s v="RAS"/>
  </r>
  <r>
    <d v="2025-02-06T00:00:00"/>
    <x v="0"/>
    <x v="0"/>
    <s v="Mohamed BENDAOUD"/>
    <x v="1"/>
    <x v="17"/>
    <m/>
    <s v="MECANIQUE"/>
    <s v="ZOUBAIR LAMRABAT"/>
    <n v="25"/>
    <s v="pb insertion "/>
    <s v="reglage mecainque"/>
    <s v="Terminer"/>
    <s v="RAS"/>
  </r>
  <r>
    <d v="2025-02-06T00:00:00"/>
    <x v="0"/>
    <x v="0"/>
    <s v="Mohamed BENDAOUD"/>
    <x v="2"/>
    <x v="12"/>
    <m/>
    <s v="MECANIQUE"/>
    <s v="Smail EL MOHAMADI"/>
    <n v="60"/>
    <s v="pb detecteur denedage"/>
    <s v="reglage detecteur et ajustement mecanique"/>
    <s v="Terminer"/>
    <s v="RAS"/>
  </r>
  <r>
    <d v="2025-02-06T00:00:00"/>
    <x v="0"/>
    <x v="0"/>
    <s v="Mohamed BENDAOUD"/>
    <x v="2"/>
    <x v="28"/>
    <m/>
    <s v="ELECTRIQUE"/>
    <s v="Smail EL MOHAMADI"/>
    <n v="20"/>
    <s v="pb resistance"/>
    <s v="inversement de carte et reglage parametre"/>
    <s v="Terminer"/>
    <s v="RAS"/>
  </r>
  <r>
    <d v="2025-02-06T00:00:00"/>
    <x v="0"/>
    <x v="0"/>
    <s v="Mohamed BENDAOUD"/>
    <x v="1"/>
    <x v="29"/>
    <m/>
    <s v="MECANIQUE"/>
    <s v="BEN DAOUD MOHAMED"/>
    <n v="20"/>
    <s v="pb porte de securiter"/>
    <s v="reglage de switch de securiter"/>
    <s v="Terminer"/>
    <s v="RAS"/>
  </r>
  <r>
    <d v="2025-02-06T00:00:00"/>
    <x v="0"/>
    <x v="0"/>
    <s v="Mohamed BENDAOUD"/>
    <x v="1"/>
    <x v="10"/>
    <m/>
    <s v="MECANIQUE"/>
    <s v="ZOUBAIR LAMRABAT"/>
    <n v="40"/>
    <s v="pb convoyeur et separateur"/>
    <s v="synchronisation de chaine et rotatif"/>
    <s v="Terminer"/>
    <s v="RAS"/>
  </r>
  <r>
    <d v="2025-02-06T00:00:00"/>
    <x v="0"/>
    <x v="0"/>
    <s v="Mohamed BENDAOUD"/>
    <x v="2"/>
    <x v="30"/>
    <m/>
    <s v="MECANIQUE"/>
    <s v="Smail EL MOHAMADI"/>
    <n v="30"/>
    <s v="pb aiguille"/>
    <s v="ajustement mecanique et suivi"/>
    <s v="Terminer"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9T00:00:00"/>
    <x v="1"/>
    <x v="0"/>
    <s v="Mohamed BENDAOUD"/>
    <x v="1"/>
    <x v="7"/>
    <m/>
    <s v="MECANIQUE"/>
    <s v="BEN DAOUD MOHAMED"/>
    <m/>
    <s v="pb decalage de chaine"/>
    <s v="changement de motoreducteur et synchronisation de chaine par rapport au courois"/>
    <s v="Terminer"/>
    <s v="RAS"/>
  </r>
  <r>
    <d v="2025-02-10T00:00:00"/>
    <x v="1"/>
    <x v="0"/>
    <s v="Mohamed BENDAOUD"/>
    <x v="1"/>
    <x v="27"/>
    <m/>
    <s v="MECANIQUE"/>
    <s v="ZOUBAIR LAMRABAT"/>
    <n v="350"/>
    <m/>
    <m/>
    <m/>
    <s v="RAS"/>
  </r>
  <r>
    <d v="2025-02-10T00:00:00"/>
    <x v="1"/>
    <x v="0"/>
    <s v="Mohamed BENDAOUD"/>
    <x v="1"/>
    <x v="18"/>
    <m/>
    <s v="ELECTRIQUE"/>
    <s v="ZOUBAIR LAMRABAT"/>
    <n v="460"/>
    <m/>
    <m/>
    <m/>
    <s v="RAS"/>
  </r>
  <r>
    <d v="2025-02-10T00:00:00"/>
    <x v="1"/>
    <x v="0"/>
    <s v="Mohamed BENDAOUD"/>
    <x v="1"/>
    <x v="10"/>
    <m/>
    <s v="ELECTRIQUE"/>
    <s v="Smail EL MOHAMADI"/>
    <n v="40"/>
    <m/>
    <m/>
    <m/>
    <s v="RAS"/>
  </r>
  <r>
    <d v="2025-02-10T00:00:00"/>
    <x v="1"/>
    <x v="0"/>
    <s v="Mohamed BENDAOUD"/>
    <x v="1"/>
    <x v="32"/>
    <m/>
    <s v="MECANIQUE"/>
    <s v="BEN DAOUD MOHAMED"/>
    <n v="25"/>
    <m/>
    <m/>
    <m/>
    <s v="RAS"/>
  </r>
  <r>
    <d v="2025-02-10T00:00:00"/>
    <x v="1"/>
    <x v="0"/>
    <s v="Mohamed BENDAOUD"/>
    <x v="1"/>
    <x v="33"/>
    <m/>
    <s v="MECANIQUE"/>
    <s v="Smail EL MOHAMADI"/>
    <n v="30"/>
    <s v="cuting raill"/>
    <m/>
    <m/>
    <s v="RAS"/>
  </r>
  <r>
    <d v="2025-02-10T00:00:00"/>
    <x v="1"/>
    <x v="0"/>
    <s v="Mohamed BENDAOUD"/>
    <x v="1"/>
    <x v="17"/>
    <m/>
    <s v="MECANIQUE"/>
    <s v="LARHIOUCH RACHID"/>
    <n v="25"/>
    <m/>
    <m/>
    <m/>
    <s v="RAS"/>
  </r>
  <r>
    <d v="2025-02-10T00:00:00"/>
    <x v="1"/>
    <x v="0"/>
    <s v="Mohamed BENDAOUD"/>
    <x v="1"/>
    <x v="17"/>
    <m/>
    <s v="MECANIQUE"/>
    <s v="ANAS MOUHCINE"/>
    <n v="25"/>
    <m/>
    <m/>
    <m/>
    <s v="RAS"/>
  </r>
  <r>
    <d v="2025-02-10T00:00:00"/>
    <x v="1"/>
    <x v="0"/>
    <s v="Mohamed BENDAOUD"/>
    <x v="1"/>
    <x v="17"/>
    <m/>
    <s v="MECANIQUE"/>
    <s v="ZOUBAIR LAMRABAT"/>
    <n v="25"/>
    <m/>
    <m/>
    <m/>
    <s v="RAS"/>
  </r>
  <r>
    <d v="2025-02-10T00:00:00"/>
    <x v="1"/>
    <x v="0"/>
    <s v="Mohamed BENDAOUD"/>
    <x v="1"/>
    <x v="10"/>
    <m/>
    <s v="ELECTRIQUE"/>
    <s v="Smail EL MOHAMADI"/>
    <n v="20"/>
    <m/>
    <m/>
    <m/>
    <s v="RAS"/>
  </r>
  <r>
    <d v="2025-02-10T00:00:00"/>
    <x v="1"/>
    <x v="0"/>
    <s v="Mohamed BENDAOUD"/>
    <x v="0"/>
    <x v="34"/>
    <m/>
    <s v="HYDRAULIQUE"/>
    <s v="ANAS MOUHCINE"/>
    <n v="50"/>
    <m/>
    <m/>
    <m/>
    <s v="RAS"/>
  </r>
  <r>
    <d v="2025-02-10T00:00:00"/>
    <x v="1"/>
    <x v="0"/>
    <s v="Mohamed BENDAOUD"/>
    <x v="0"/>
    <x v="35"/>
    <m/>
    <s v="MECANIQUE"/>
    <s v="ANAS MOUHCINE"/>
    <n v="35"/>
    <m/>
    <m/>
    <m/>
    <s v="RAS"/>
  </r>
  <r>
    <d v="2025-02-10T00:00:00"/>
    <x v="1"/>
    <x v="0"/>
    <s v="Mohamed BENDAOUD"/>
    <x v="0"/>
    <x v="5"/>
    <m/>
    <s v="MECANIQUE"/>
    <s v="ANAS MOUHCINE"/>
    <n v="15"/>
    <s v="pb teste ligne 8"/>
    <m/>
    <m/>
    <s v="RAS"/>
  </r>
  <r>
    <d v="2025-02-10T00:00:00"/>
    <x v="1"/>
    <x v="0"/>
    <s v="Mohamed BENDAOUD"/>
    <x v="0"/>
    <x v="36"/>
    <m/>
    <s v="PNEUMATIQUE"/>
    <s v="ANAS MOUHCINE"/>
    <n v="40"/>
    <m/>
    <m/>
    <m/>
    <s v="RAS"/>
  </r>
  <r>
    <d v="2025-02-10T00:00:00"/>
    <x v="1"/>
    <x v="0"/>
    <s v="Mohamed BENDAOUD"/>
    <x v="2"/>
    <x v="12"/>
    <m/>
    <s v="MECANIQUE"/>
    <s v="ANAS MOUHCINE"/>
    <n v="35"/>
    <m/>
    <m/>
    <m/>
    <s v="RAS"/>
  </r>
  <r>
    <d v="2025-02-10T00:00:00"/>
    <x v="1"/>
    <x v="0"/>
    <s v="Mohamed BENDAOUD"/>
    <x v="0"/>
    <x v="16"/>
    <m/>
    <s v="MECANIQUE"/>
    <s v="ANAS MOUHCINE"/>
    <n v="25"/>
    <m/>
    <m/>
    <m/>
    <s v="RAS"/>
  </r>
  <r>
    <d v="2025-02-10T00:00:00"/>
    <x v="1"/>
    <x v="0"/>
    <s v="Mohamed BENDAOUD"/>
    <x v="0"/>
    <x v="37"/>
    <m/>
    <s v="ELECTRONIQUE"/>
    <s v="LARHIOUCH RACHID"/>
    <n v="30"/>
    <m/>
    <m/>
    <m/>
    <s v="RAS"/>
  </r>
  <r>
    <d v="2025-02-10T00:00:00"/>
    <x v="1"/>
    <x v="0"/>
    <s v="Mohamed BENDAOUD"/>
    <x v="0"/>
    <x v="21"/>
    <m/>
    <s v="ELECTRONIQUE"/>
    <s v="LARHIOUCH RACHID"/>
    <n v="35"/>
    <m/>
    <m/>
    <m/>
    <s v="RAS"/>
  </r>
  <r>
    <d v="2025-02-10T00:00:00"/>
    <x v="1"/>
    <x v="0"/>
    <s v="Mohamed BENDAOUD"/>
    <x v="0"/>
    <x v="24"/>
    <m/>
    <s v="PNEUMATIQUE"/>
    <s v="LARHIOUCH RACHID"/>
    <n v="30"/>
    <m/>
    <m/>
    <m/>
    <s v="RAS"/>
  </r>
  <r>
    <d v="2025-02-10T00:00:00"/>
    <x v="1"/>
    <x v="0"/>
    <s v="Mohamed BENDAOUD"/>
    <x v="0"/>
    <x v="35"/>
    <m/>
    <s v="MECANIQUE"/>
    <s v="LARHIOUCH RACHID"/>
    <n v="25"/>
    <m/>
    <m/>
    <m/>
    <s v="RAS"/>
  </r>
  <r>
    <d v="2025-02-10T00:00:00"/>
    <x v="1"/>
    <x v="0"/>
    <s v="Mohamed BENDAOUD"/>
    <x v="2"/>
    <x v="38"/>
    <m/>
    <m/>
    <m/>
    <m/>
    <m/>
    <m/>
    <m/>
    <s v="RAS"/>
  </r>
  <r>
    <d v="2025-02-10T00:00:00"/>
    <x v="1"/>
    <x v="0"/>
    <s v="Mohamed BENDAOUD"/>
    <x v="2"/>
    <x v="12"/>
    <m/>
    <m/>
    <m/>
    <m/>
    <m/>
    <m/>
    <m/>
    <s v="RAS"/>
  </r>
  <r>
    <d v="2025-02-10T00:00:00"/>
    <x v="1"/>
    <x v="0"/>
    <s v="Mohamed BENDAOUD"/>
    <x v="2"/>
    <x v="39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1T00:00:00"/>
    <x v="1"/>
    <x v="0"/>
    <s v="Mohamed BENDAOUD"/>
    <x v="0"/>
    <x v="40"/>
    <m/>
    <m/>
    <s v="BEN DAOUD MOHAMED"/>
    <n v="15"/>
    <m/>
    <m/>
    <m/>
    <s v="RAS"/>
  </r>
  <r>
    <d v="2025-02-11T00:00:00"/>
    <x v="1"/>
    <x v="0"/>
    <s v="Mohamed BENDAOUD"/>
    <x v="0"/>
    <x v="41"/>
    <m/>
    <m/>
    <s v="ANAS MOUHCINE"/>
    <n v="10"/>
    <m/>
    <m/>
    <m/>
    <s v="RAS"/>
  </r>
  <r>
    <d v="2025-02-11T00:00:00"/>
    <x v="1"/>
    <x v="0"/>
    <s v="Mohamed BENDAOUD"/>
    <x v="0"/>
    <x v="35"/>
    <m/>
    <m/>
    <s v="ANAS MOUHCINE"/>
    <n v="10"/>
    <m/>
    <m/>
    <m/>
    <s v="RAS"/>
  </r>
  <r>
    <d v="2025-02-11T00:00:00"/>
    <x v="1"/>
    <x v="0"/>
    <s v="Mohamed BENDAOUD"/>
    <x v="0"/>
    <x v="35"/>
    <m/>
    <m/>
    <s v="ANAS MOUHCINE"/>
    <n v="20"/>
    <m/>
    <m/>
    <m/>
    <s v="RAS"/>
  </r>
  <r>
    <d v="2025-02-11T00:00:00"/>
    <x v="1"/>
    <x v="0"/>
    <s v="Mohamed BENDAOUD"/>
    <x v="0"/>
    <x v="24"/>
    <m/>
    <m/>
    <s v="ANAS MOUHCINE"/>
    <n v="10"/>
    <m/>
    <m/>
    <m/>
    <s v="RAS"/>
  </r>
  <r>
    <d v="2025-02-11T00:00:00"/>
    <x v="1"/>
    <x v="0"/>
    <s v="Mohamed BENDAOUD"/>
    <x v="0"/>
    <x v="26"/>
    <m/>
    <m/>
    <s v="ANAS MOUHCINE"/>
    <n v="10"/>
    <m/>
    <m/>
    <m/>
    <s v="RAS"/>
  </r>
  <r>
    <d v="2025-02-11T00:00:00"/>
    <x v="1"/>
    <x v="0"/>
    <s v="Mohamed BENDAOUD"/>
    <x v="1"/>
    <x v="33"/>
    <m/>
    <m/>
    <s v="ANAS MOUHCINE"/>
    <n v="45"/>
    <m/>
    <m/>
    <m/>
    <s v="RAS"/>
  </r>
  <r>
    <d v="2025-02-11T00:00:00"/>
    <x v="1"/>
    <x v="0"/>
    <s v="Mohamed BENDAOUD"/>
    <x v="1"/>
    <x v="10"/>
    <m/>
    <m/>
    <s v="ZOUBAIR LAMRABAT"/>
    <n v="20"/>
    <m/>
    <m/>
    <m/>
    <s v="RAS"/>
  </r>
  <r>
    <d v="2025-02-11T00:00:00"/>
    <x v="1"/>
    <x v="0"/>
    <s v="Mohamed BENDAOUD"/>
    <x v="1"/>
    <x v="17"/>
    <m/>
    <m/>
    <s v="ANAS MOUHCINE"/>
    <n v="20"/>
    <m/>
    <m/>
    <m/>
    <s v="RAS"/>
  </r>
  <r>
    <d v="2025-02-11T00:00:00"/>
    <x v="1"/>
    <x v="0"/>
    <s v="Mohamed BENDAOUD"/>
    <x v="1"/>
    <x v="17"/>
    <m/>
    <m/>
    <s v="LARHIOUCH RACHID"/>
    <n v="25"/>
    <m/>
    <m/>
    <m/>
    <s v="RAS"/>
  </r>
  <r>
    <d v="2025-02-11T00:00:00"/>
    <x v="1"/>
    <x v="0"/>
    <s v="Mohamed BENDAOUD"/>
    <x v="2"/>
    <x v="39"/>
    <m/>
    <m/>
    <s v="Smail EL MOHAMADI"/>
    <n v="15"/>
    <m/>
    <m/>
    <m/>
    <s v="RAS"/>
  </r>
  <r>
    <d v="2025-02-11T00:00:00"/>
    <x v="1"/>
    <x v="0"/>
    <s v="Mohamed BENDAOUD"/>
    <x v="2"/>
    <x v="12"/>
    <m/>
    <m/>
    <s v="Smail EL MOHAMADI"/>
    <n v="20"/>
    <m/>
    <m/>
    <m/>
    <s v="RAS"/>
  </r>
  <r>
    <d v="2025-02-12T00:00:00"/>
    <x v="1"/>
    <x v="0"/>
    <s v="Mohamed BENDAOUD"/>
    <x v="0"/>
    <x v="5"/>
    <m/>
    <m/>
    <s v="LARHIOUCH RACHID"/>
    <n v="35"/>
    <m/>
    <m/>
    <m/>
    <s v="RAS"/>
  </r>
  <r>
    <d v="2025-02-13T00:00:00"/>
    <x v="1"/>
    <x v="0"/>
    <s v="Mohamed BENDAOUD"/>
    <x v="0"/>
    <x v="24"/>
    <m/>
    <m/>
    <s v="LARHIOUCH RACHID"/>
    <n v="25"/>
    <m/>
    <m/>
    <m/>
    <s v="RAS"/>
  </r>
  <r>
    <d v="2025-02-14T00:00:00"/>
    <x v="1"/>
    <x v="0"/>
    <s v="Mohamed BENDAOUD"/>
    <x v="0"/>
    <x v="35"/>
    <m/>
    <m/>
    <s v="LARHIOUCH RACHID"/>
    <n v="25"/>
    <m/>
    <m/>
    <m/>
    <s v="RAS"/>
  </r>
  <r>
    <d v="2025-02-15T00:00:00"/>
    <x v="1"/>
    <x v="0"/>
    <s v="Mohamed BENDAOUD"/>
    <x v="2"/>
    <x v="38"/>
    <m/>
    <m/>
    <s v="Smail EL MOHAMADI"/>
    <n v="30"/>
    <m/>
    <m/>
    <m/>
    <s v="RAS"/>
  </r>
  <r>
    <d v="2025-02-16T00:00:00"/>
    <x v="2"/>
    <x v="0"/>
    <s v="Mohamed BENDAOUD"/>
    <x v="1"/>
    <x v="7"/>
    <m/>
    <m/>
    <s v="BEN DAOUD MOHAMED"/>
    <n v="350"/>
    <m/>
    <m/>
    <m/>
    <s v="RAS"/>
  </r>
  <r>
    <d v="2025-02-17T00:00:00"/>
    <x v="2"/>
    <x v="0"/>
    <s v="Mohamed BENDAOUD"/>
    <x v="1"/>
    <x v="8"/>
    <m/>
    <m/>
    <s v="ZOUBAIR LAMRABAT"/>
    <n v="20"/>
    <m/>
    <m/>
    <m/>
    <s v="RAS"/>
  </r>
  <r>
    <d v="2025-02-18T00:00:00"/>
    <x v="2"/>
    <x v="0"/>
    <s v="Mohamed BENDAOUD"/>
    <x v="1"/>
    <x v="18"/>
    <m/>
    <m/>
    <s v="BEN DAOUD MOHAMED"/>
    <n v="40"/>
    <m/>
    <m/>
    <m/>
    <s v="RAS"/>
  </r>
  <r>
    <d v="2025-02-19T00:00:00"/>
    <x v="2"/>
    <x v="0"/>
    <s v="Mohamed BENDAOUD"/>
    <x v="1"/>
    <x v="27"/>
    <m/>
    <m/>
    <s v="ZOUBAIR LAMRABAT"/>
    <n v="300"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13:B56" firstHeaderRow="1" firstDataRow="1" firstDataCol="1" rowPageCount="2" colPageCount="1"/>
  <pivotFields count="14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227">
        <item t="data" sd="1" m="1" x="4"/>
        <item t="data" sd="1" m="1" x="5"/>
        <item t="data" sd="1" m="1" x="6"/>
        <item t="data" sd="1" m="1" x="7"/>
        <item t="data" sd="1" m="1" x="8"/>
        <item t="data" sd="1" x="0"/>
        <item t="data" sd="1" x="1"/>
        <item t="data" sd="1" x="2"/>
        <item t="data" sd="1" m="1" x="9"/>
        <item t="data" sd="1" m="1" x="10"/>
        <item t="data" sd="1" m="1" x="11"/>
        <item t="data" sd="1" m="1" x="12"/>
        <item t="data" sd="1" m="1" x="13"/>
        <item t="data" sd="1" m="1" x="14"/>
        <item t="data" sd="1" m="1" x="15"/>
        <item t="data" sd="1" m="1" x="16"/>
        <item t="data" sd="1" m="1" x="17"/>
        <item t="data" sd="1" m="1" x="18"/>
        <item t="data" sd="1" m="1" x="19"/>
        <item t="data" sd="1" m="1" x="20"/>
        <item t="data" sd="1" m="1" x="21"/>
        <item t="data" sd="1" m="1" x="22"/>
        <item t="data" sd="1" m="1" x="23"/>
        <item t="data" sd="1" m="1" x="24"/>
        <item t="data" sd="1" m="1" x="25"/>
        <item t="data" sd="1" m="1" x="26"/>
        <item t="data" sd="1" m="1" x="27"/>
        <item t="data" sd="1" m="1" x="28"/>
        <item t="data" sd="1" m="1" x="29"/>
        <item t="data" sd="1" m="1" x="30"/>
        <item t="data" sd="1" m="1" x="31"/>
        <item t="data" sd="1" m="1" x="32"/>
        <item t="data" sd="1" m="1" x="33"/>
        <item t="data" sd="1" m="1" x="34"/>
        <item t="data" sd="1" m="1" x="35"/>
        <item t="data" sd="1" m="1" x="36"/>
        <item t="data" sd="1" m="1" x="37"/>
        <item t="data" sd="1" m="1" x="38"/>
        <item t="data" sd="1" m="1" x="39"/>
        <item t="data" sd="1" m="1" x="40"/>
        <item t="data" sd="1" m="1" x="41"/>
        <item t="data" sd="1" m="1" x="42"/>
        <item t="data" sd="1" m="1" x="43"/>
        <item t="data" sd="1" m="1" x="44"/>
        <item t="data" sd="1" m="1" x="45"/>
        <item t="data" sd="1" m="1" x="46"/>
        <item t="data" sd="1" m="1" x="47"/>
        <item t="data" sd="1" m="1" x="48"/>
        <item t="data" sd="1" m="1" x="49"/>
        <item t="data" sd="1" m="1" x="50"/>
        <item t="data" sd="1" m="1" x="51"/>
        <item t="data" sd="1" m="1" x="52"/>
        <item t="data" sd="1" m="1" x="53"/>
        <item t="data" sd="1" m="1" x="54"/>
        <item t="data" sd="1" m="1" x="55"/>
        <item t="data" sd="1" m="1" x="56"/>
        <item t="data" sd="1" m="1" x="57"/>
        <item t="data" sd="1" m="1" x="58"/>
        <item t="data" sd="1" m="1" x="59"/>
        <item t="data" sd="1" m="1" x="60"/>
        <item t="data" sd="1" m="1" x="61"/>
        <item t="data" sd="1" m="1" x="62"/>
        <item t="data" sd="1" m="1" x="63"/>
        <item t="data" sd="1" m="1" x="64"/>
        <item t="data" sd="1" m="1" x="65"/>
        <item t="data" sd="1" m="1" x="66"/>
        <item t="data" sd="1" m="1" x="67"/>
        <item t="data" sd="1" m="1" x="68"/>
        <item t="data" sd="1" m="1" x="69"/>
        <item t="data" sd="1" m="1" x="70"/>
        <item t="data" sd="1" m="1" x="71"/>
        <item t="data" sd="1" m="1" x="72"/>
        <item t="data" sd="1" m="1" x="73"/>
        <item t="data" sd="1" m="1" x="74"/>
        <item t="data" sd="1" m="1" x="75"/>
        <item t="data" sd="1" m="1" x="76"/>
        <item t="data" sd="1" m="1" x="77"/>
        <item t="data" sd="1" m="1" x="78"/>
        <item t="data" sd="1" m="1" x="79"/>
        <item t="data" sd="1" m="1" x="80"/>
        <item t="data" sd="1" m="1" x="81"/>
        <item t="data" sd="1" m="1" x="82"/>
        <item t="data" sd="1" m="1" x="83"/>
        <item t="data" sd="1" m="1" x="84"/>
        <item t="data" sd="1" m="1" x="85"/>
        <item t="data" sd="1" m="1" x="86"/>
        <item t="data" sd="1" m="1" x="87"/>
        <item t="data" sd="1" m="1" x="88"/>
        <item t="data" sd="1" m="1" x="89"/>
        <item t="data" sd="1" m="1" x="90"/>
        <item t="data" sd="1" m="1" x="91"/>
        <item t="data" sd="1" m="1" x="92"/>
        <item t="data" sd="1" m="1" x="93"/>
        <item t="data" sd="1" m="1" x="94"/>
        <item t="data" sd="1" m="1" x="95"/>
        <item t="data" sd="1" m="1" x="96"/>
        <item t="data" sd="1" m="1" x="97"/>
        <item t="data" sd="1" m="1" x="98"/>
        <item t="data" sd="1" m="1" x="99"/>
        <item t="data" sd="1" m="1" x="100"/>
        <item t="data" sd="1" m="1" x="101"/>
        <item t="data" sd="1" m="1" x="102"/>
        <item t="data" sd="1" m="1" x="103"/>
        <item t="data" sd="1" m="1" x="104"/>
        <item t="data" sd="1" m="1" x="105"/>
        <item t="data" sd="1" m="1" x="106"/>
        <item t="data" sd="1" m="1" x="107"/>
        <item t="data" sd="1" m="1" x="108"/>
        <item t="data" sd="1" m="1" x="109"/>
        <item t="data" sd="1" m="1" x="110"/>
        <item t="data" sd="1" m="1" x="111"/>
        <item t="data" sd="1" m="1" x="112"/>
        <item t="data" sd="1" m="1" x="113"/>
        <item t="data" sd="1" m="1" x="114"/>
        <item t="data" sd="1" m="1" x="115"/>
        <item t="data" sd="1" m="1" x="116"/>
        <item t="data" sd="1" m="1" x="117"/>
        <item t="data" sd="1" m="1" x="118"/>
        <item t="data" sd="1" m="1" x="119"/>
        <item t="data" sd="1" m="1" x="120"/>
        <item t="data" sd="1" m="1" x="121"/>
        <item t="data" sd="1" m="1" x="122"/>
        <item t="data" sd="1" m="1" x="123"/>
        <item t="data" sd="1" m="1" x="124"/>
        <item t="data" sd="1" m="1" x="125"/>
        <item t="data" sd="1" m="1" x="126"/>
        <item t="data" sd="1" m="1" x="127"/>
        <item t="data" sd="1" m="1" x="128"/>
        <item t="data" sd="1" m="1" x="129"/>
        <item t="data" sd="1" m="1" x="130"/>
        <item t="data" sd="1" m="1" x="131"/>
        <item t="data" sd="1" m="1" x="132"/>
        <item t="data" sd="1" m="1" x="133"/>
        <item t="data" sd="1" m="1" x="134"/>
        <item t="data" sd="1" m="1" x="135"/>
        <item t="data" sd="1" m="1" x="136"/>
        <item t="data" sd="1" m="1" x="137"/>
        <item t="data" sd="1" m="1" x="138"/>
        <item t="data" sd="1" m="1" x="139"/>
        <item t="data" sd="1" m="1" x="140"/>
        <item t="data" sd="1" m="1" x="141"/>
        <item t="data" sd="1" m="1" x="142"/>
        <item t="data" sd="1" m="1" x="143"/>
        <item t="data" sd="1" m="1" x="144"/>
        <item t="data" sd="1" m="1" x="145"/>
        <item t="data" sd="1" m="1" x="146"/>
        <item t="data" sd="1" m="1" x="147"/>
        <item t="data" sd="1" m="1" x="148"/>
        <item t="data" sd="1" m="1" x="149"/>
        <item t="data" sd="1" m="1" x="150"/>
        <item t="data" sd="1" m="1" x="151"/>
        <item t="data" sd="1" m="1" x="152"/>
        <item t="data" sd="1" m="1" x="153"/>
        <item t="data" sd="1" m="1" x="154"/>
        <item t="data" sd="1" m="1" x="155"/>
        <item t="data" sd="1" m="1" x="156"/>
        <item t="data" sd="1" m="1" x="157"/>
        <item t="data" sd="1" m="1" x="158"/>
        <item t="data" sd="1" m="1" x="159"/>
        <item t="data" sd="1" m="1" x="160"/>
        <item t="data" sd="1" m="1" x="161"/>
        <item t="data" sd="1" m="1" x="162"/>
        <item t="data" sd="1" m="1" x="163"/>
        <item t="data" sd="1" m="1" x="164"/>
        <item t="data" sd="1" m="1" x="165"/>
        <item t="data" sd="1" m="1" x="166"/>
        <item t="data" sd="1" m="1" x="167"/>
        <item t="data" sd="1" m="1" x="168"/>
        <item t="data" sd="1" m="1" x="169"/>
        <item t="data" sd="1" m="1" x="170"/>
        <item t="data" sd="1" m="1" x="171"/>
        <item t="data" sd="1" m="1" x="172"/>
        <item t="data" sd="1" m="1" x="173"/>
        <item t="data" sd="1" m="1" x="174"/>
        <item t="data" sd="1" m="1" x="175"/>
        <item t="data" sd="1" m="1" x="176"/>
        <item t="data" sd="1" m="1" x="177"/>
        <item t="data" sd="1" m="1" x="178"/>
        <item t="data" sd="1" m="1" x="179"/>
        <item t="data" sd="1" m="1" x="180"/>
        <item t="data" sd="1" m="1" x="181"/>
        <item t="data" sd="1" m="1" x="182"/>
        <item t="data" sd="1" m="1" x="183"/>
        <item t="data" sd="1" m="1" x="184"/>
        <item t="data" sd="1" m="1" x="185"/>
        <item t="data" sd="1" m="1" x="186"/>
        <item t="data" sd="1" m="1" x="187"/>
        <item t="data" sd="1" m="1" x="188"/>
        <item t="data" sd="1" m="1" x="189"/>
        <item t="data" sd="1" m="1" x="190"/>
        <item t="data" sd="1" m="1" x="191"/>
        <item t="data" sd="1" m="1" x="192"/>
        <item t="data" sd="1" m="1" x="193"/>
        <item t="data" sd="1" m="1" x="194"/>
        <item t="data" sd="1" m="1" x="195"/>
        <item t="data" sd="1" m="1" x="196"/>
        <item t="data" sd="1" m="1" x="197"/>
        <item t="data" sd="1" m="1" x="198"/>
        <item t="data" sd="1" m="1" x="199"/>
        <item t="data" sd="1" m="1" x="200"/>
        <item t="data" sd="1" m="1" x="201"/>
        <item t="data" sd="1" m="1" x="202"/>
        <item t="data" sd="1" m="1" x="203"/>
        <item t="data" sd="1" m="1" x="204"/>
        <item t="data" sd="1" m="1" x="205"/>
        <item t="data" sd="1" m="1" x="206"/>
        <item t="data" sd="1" m="1" x="207"/>
        <item t="data" sd="1" m="1" x="208"/>
        <item t="data" sd="1" m="1" x="209"/>
        <item t="data" sd="1" m="1" x="210"/>
        <item t="data" sd="1" m="1" x="211"/>
        <item t="data" sd="1" m="1" x="212"/>
        <item t="data" sd="1" m="1" x="213"/>
        <item t="data" sd="1" m="1" x="214"/>
        <item t="data" sd="1" m="1" x="215"/>
        <item t="data" sd="1" m="1" x="216"/>
        <item t="data" sd="1" m="1" x="217"/>
        <item t="data" sd="1" m="1" x="218"/>
        <item t="data" sd="1" m="1" x="219"/>
        <item t="data" sd="1" m="1" x="220"/>
        <item t="data" sd="1" m="1" x="221"/>
        <item t="data" sd="1" m="1" x="222"/>
        <item t="data" sd="1" m="1" x="223"/>
        <item t="data" sd="1" m="1" x="224"/>
        <item t="data" sd="1" m="1" x="225"/>
        <item t="data" sd="1" x="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0"/>
        <item t="data" sd="1" m="1" x="2"/>
        <item t="data" sd="1" m="1" x="3"/>
        <item t="data" sd="1" m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71">
        <item t="data" sd="1" x="34"/>
        <item t="data" sd="1" x="0"/>
        <item t="data" sd="1" m="1" x="47"/>
        <item t="data" sd="1" x="7"/>
        <item t="data" sd="1" x="9"/>
        <item t="data" sd="1" m="1" x="59"/>
        <item t="data" sd="1" x="36"/>
        <item t="data" sd="1" x="40"/>
        <item t="data" sd="1" m="1" x="55"/>
        <item t="data" sd="1" m="1" x="65"/>
        <item t="data" sd="1" x="11"/>
        <item t="data" sd="1" x="6"/>
        <item t="data" sd="1" x="24"/>
        <item t="data" sd="1" x="25"/>
        <item t="data" sd="1" x="23"/>
        <item t="data" sd="1" x="16"/>
        <item t="data" sd="1" m="1" x="57"/>
        <item t="data" sd="1" m="1" x="62"/>
        <item t="data" sd="1" x="13"/>
        <item t="data" sd="1" m="1" x="69"/>
        <item t="data" sd="1" m="1" x="58"/>
        <item t="data" sd="1" x="27"/>
        <item t="data" sd="1" m="1" x="46"/>
        <item t="data" sd="1" x="4"/>
        <item t="data" sd="1" x="3"/>
        <item t="data" sd="1" m="1" x="61"/>
        <item t="data" sd="1" m="1" x="43"/>
        <item t="data" sd="1" x="37"/>
        <item t="data" sd="1" x="41"/>
        <item t="data" sd="1" x="17"/>
        <item t="data" sd="1" m="1" x="64"/>
        <item t="data" sd="1" m="1" x="54"/>
        <item t="data" sd="1" x="10"/>
        <item t="data" sd="1" m="1" x="45"/>
        <item t="data" sd="1" m="1" x="63"/>
        <item t="data" sd="1" x="5"/>
        <item t="data" sd="1" m="1" x="48"/>
        <item t="data" sd="1" m="1" x="56"/>
        <item t="data" sd="1" m="1" x="60"/>
        <item t="data" sd="1" x="2"/>
        <item t="data" sd="1" m="1" x="53"/>
        <item t="data" sd="1" m="1" x="52"/>
        <item t="data" sd="1" m="1" x="66"/>
        <item t="data" sd="1" m="1" x="67"/>
        <item t="data" sd="1" m="1" x="68"/>
        <item t="data" sd="1" m="1" x="49"/>
        <item t="data" sd="1" m="1" x="50"/>
        <item t="data" sd="1" x="14"/>
        <item t="data" sd="1" m="1" x="51"/>
        <item t="data" sd="1" x="19"/>
        <item t="data" sd="1" x="15"/>
        <item t="data" sd="1" x="8"/>
        <item t="data" sd="1" x="31"/>
        <item t="data" sd="1" m="1" x="42"/>
        <item t="data" sd="1" m="1" x="44"/>
        <item t="data" sd="1" x="21"/>
        <item t="data" sd="1" x="26"/>
        <item t="data" sd="1" x="1"/>
        <item t="data" sd="1" x="12"/>
        <item t="data" sd="1" x="18"/>
        <item t="data" sd="1" x="20"/>
        <item t="data" sd="1" x="22"/>
        <item t="data" sd="1" x="28"/>
        <item t="data" sd="1" x="29"/>
        <item t="data" sd="1" x="30"/>
        <item t="data" sd="1" x="32"/>
        <item t="data" sd="1" x="33"/>
        <item t="data" sd="1" x="35"/>
        <item t="data" sd="1" x="38"/>
        <item t="data" sd="1" x="39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43">
    <i t="data" r="0" i="0">
      <x v="3"/>
    </i>
    <i t="data" r="0" i="0">
      <x v="21"/>
    </i>
    <i t="data" r="0" i="0">
      <x v="59"/>
    </i>
    <i t="data" r="0" i="0">
      <x v="32"/>
    </i>
    <i t="data" r="0" i="0">
      <x v="35"/>
    </i>
    <i t="data" r="0" i="0">
      <x v="15"/>
    </i>
    <i t="data" r="0" i="0">
      <x v="57"/>
    </i>
    <i t="data" r="0" i="0">
      <x v="58"/>
    </i>
    <i t="data" r="0" i="0">
      <x v="29"/>
    </i>
    <i t="data" r="0" i="0">
      <x v="51"/>
    </i>
    <i t="data" r="0" i="0">
      <x v="67"/>
    </i>
    <i t="data" r="0" i="0">
      <x v="12"/>
    </i>
    <i t="data" r="0" i="0">
      <x v="47"/>
    </i>
    <i t="data" r="0" i="0">
      <x v="1"/>
    </i>
    <i t="data" r="0" i="0">
      <x v="10"/>
    </i>
    <i t="data" r="0" i="0">
      <x v="66"/>
    </i>
    <i t="data" r="0" i="0">
      <x v="55"/>
    </i>
    <i t="data" r="0" i="0">
      <x v="11"/>
    </i>
    <i t="data" r="0" i="0">
      <x v="0"/>
    </i>
    <i t="data" r="0" i="0">
      <x v="24"/>
    </i>
    <i t="data" r="0" i="0">
      <x v="49"/>
    </i>
    <i t="data" r="0" i="0">
      <x v="6"/>
    </i>
    <i t="data" r="0" i="0">
      <x v="14"/>
    </i>
    <i t="data" r="0" i="0">
      <x v="61"/>
    </i>
    <i t="data" r="0" i="0">
      <x v="56"/>
    </i>
    <i t="data" r="0" i="0">
      <x v="39"/>
    </i>
    <i t="data" r="0" i="0">
      <x v="64"/>
    </i>
    <i t="data" r="0" i="0">
      <x v="23"/>
    </i>
    <i t="data" r="0" i="0">
      <x v="68"/>
    </i>
    <i t="data" r="0" i="0">
      <x v="27"/>
    </i>
    <i t="data" r="0" i="0">
      <x v="50"/>
    </i>
    <i t="data" r="0" i="0">
      <x v="65"/>
    </i>
    <i t="data" r="0" i="0">
      <x v="4"/>
    </i>
    <i t="data" r="0" i="0">
      <x v="60"/>
    </i>
    <i t="data" r="0" i="0">
      <x v="18"/>
    </i>
    <i t="data" r="0" i="0">
      <x v="13"/>
    </i>
    <i t="data" r="0" i="0">
      <x v="62"/>
    </i>
    <i t="data" r="0" i="0">
      <x v="63"/>
    </i>
    <i t="data" r="0" i="0">
      <x v="69"/>
    </i>
    <i t="data" r="0" i="0">
      <x v="7"/>
    </i>
    <i t="data" r="0" i="0">
      <x v="28"/>
    </i>
    <i t="data" r="0" i="0">
      <x v="52"/>
    </i>
    <i t="grand" r="0" i="0">
      <x v="0"/>
    </i>
  </rowItems>
  <colItems count="1">
    <i t="data" r="0" i="0"/>
  </colItems>
  <pageFields count="2">
    <pageField fld="2" hier="-1"/>
    <pageField fld="1" hier="-1"/>
  </pageFields>
  <dataFields count="1">
    <dataField name="Sum of Durée de l'Arrêt_x000a_(min)" fld="9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0" displayName="Table10" ref="A5:N232" headerRowCount="1" totalsRowShown="0" headerRowDxfId="38" dataDxfId="36" headerRowBorderDxfId="37" tableBorderDxfId="35">
  <autoFilter ref="A5:N232"/>
  <tableColumns count="14">
    <tableColumn id="1" name="Date " dataDxfId="34"/>
    <tableColumn id="2" name="Semaine" dataDxfId="33"/>
    <tableColumn id="3" name="Mois" dataDxfId="32"/>
    <tableColumn id="4" name="Shift" dataDxfId="31"/>
    <tableColumn id="5" name="PROJET" dataDxfId="30"/>
    <tableColumn id="6" name="Machine" dataDxfId="29"/>
    <tableColumn id="7" name="Outil _x000a_(Applicateur, Test, Tableau, Press manuelle)" dataDxfId="28"/>
    <tableColumn id="8" name="Type d'intervention" dataDxfId="27"/>
    <tableColumn id="9" name="Intervenant" dataDxfId="26"/>
    <tableColumn id="10" name="Durée de l'Arrêt_x000a_(min)" dataDxfId="25"/>
    <tableColumn id="11" name="Problème" dataDxfId="24"/>
    <tableColumn id="12" name="Détails de l'intervention" dataDxfId="23"/>
    <tableColumn id="13" name="Status Intervention" dataDxfId="22"/>
    <tableColumn id="14" name="Risque de Sécurité (après l'intervention Maintenance) 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C13:C67" headerRowCount="1" totalsRowShown="0">
  <autoFilter ref="C13:C67"/>
  <tableColumns count="1">
    <tableColumn id="1" name="%" dataDxfId="20">
      <calculatedColumnFormula>B14/SUM($B$14:$B$66)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tervenant" displayName="Intervenant" ref="A8:F23" headerRowCount="1" totalsRowShown="0" headerRowDxfId="19" dataDxfId="17" headerRowBorderDxfId="18" tableBorderDxfId="16">
  <autoFilter ref="A8:F23"/>
  <tableColumns count="6">
    <tableColumn id="1" name="Intervenant" dataDxfId="15"/>
    <tableColumn id="2" name="Status intervention" dataDxfId="14"/>
    <tableColumn id="3" name="type d'arrêt" dataDxfId="13"/>
    <tableColumn id="6" name="TYPE D'INTERVENTION" dataDxfId="12"/>
    <tableColumn id="4" name="Shift" dataDxfId="11"/>
    <tableColumn id="5" name="Projet" dataDxfId="1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1" displayName="Table1" ref="H8:U35" headerRowCount="1" totalsRowShown="0" headerRowDxfId="9" headerRowBorderDxfId="8" tableBorderDxfId="7">
  <autoFilter ref="H8:U35"/>
  <tableColumns count="14">
    <tableColumn id="1" name="Cable"/>
    <tableColumn id="2" name="BTB" dataDxfId="6"/>
    <tableColumn id="3" name="IDC"/>
    <tableColumn id="4" name="Maxibridge_Female"/>
    <tableColumn id="5" name="MCB_Female"/>
    <tableColumn id="6" name="MCB_Male"/>
    <tableColumn id="7" name="MCC_180_Female"/>
    <tableColumn id="8" name="MCC_180_Male"/>
    <tableColumn id="9" name="MCC_90_Female"/>
    <tableColumn id="10" name="MCC_90_Male"/>
    <tableColumn id="11" name="MCC_90_Male_Female"/>
    <tableColumn id="12" name="Power_Connector"/>
    <tableColumn id="13" name="RWB_Female"/>
    <tableColumn id="14" name="RWB M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Relationship Type="http://schemas.openxmlformats.org/officeDocument/2006/relationships/pivotTable" Target="/xl/pivotTables/pivotTable1.xm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5"/>
  <sheetViews>
    <sheetView showGridLines="0" tabSelected="1" zoomScaleNormal="100" zoomScaleSheetLayoutView="124" workbookViewId="0">
      <pane ySplit="5" topLeftCell="A6" activePane="bottomLeft" state="frozen"/>
      <selection pane="bottomLeft" activeCell="N7" sqref="N7"/>
    </sheetView>
  </sheetViews>
  <sheetFormatPr baseColWidth="8" defaultRowHeight="14.5"/>
  <cols>
    <col width="14.54296875" bestFit="1" customWidth="1" min="1" max="1"/>
    <col width="11.54296875" customWidth="1" min="2" max="2"/>
    <col width="8" bestFit="1" customWidth="1" min="3" max="3"/>
    <col width="22.1796875" customWidth="1" min="4" max="4"/>
    <col width="18.81640625" customWidth="1" style="37" min="5" max="5"/>
    <col width="26.1796875" customWidth="1" min="6" max="6"/>
    <col width="17" customWidth="1" style="38" min="7" max="7"/>
    <col width="18.54296875" customWidth="1" min="8" max="8"/>
    <col width="21.453125" customWidth="1" min="9" max="9"/>
    <col width="12.26953125" customWidth="1" min="10" max="10"/>
    <col width="34.54296875" customWidth="1" style="37" min="11" max="11"/>
    <col width="38.81640625" customWidth="1" style="37" min="12" max="12"/>
    <col width="13.7265625" customWidth="1" min="14" max="14"/>
  </cols>
  <sheetData>
    <row r="1" ht="21.5" customHeight="1" thickBot="1">
      <c r="A1" s="67" t="inlineStr">
        <is>
          <t>Industrial BU - Tangier - Morocco</t>
        </is>
      </c>
      <c r="B1" s="68" t="n"/>
      <c r="C1" s="69" t="n"/>
      <c r="D1" s="70" t="inlineStr">
        <is>
          <t>P02_VS1 - FOR136</t>
        </is>
      </c>
      <c r="E1" s="71" t="n"/>
      <c r="F1" s="71" t="n"/>
      <c r="G1" s="71" t="n"/>
      <c r="H1" s="71" t="n"/>
      <c r="I1" s="71" t="n"/>
      <c r="J1" s="71" t="n"/>
      <c r="K1" s="71" t="n"/>
      <c r="L1" s="72" t="n"/>
      <c r="M1" s="1" t="inlineStr">
        <is>
          <t>Rev</t>
        </is>
      </c>
      <c r="N1" s="2" t="n">
        <v>0</v>
      </c>
    </row>
    <row r="2" ht="24" customHeight="1" thickBot="1">
      <c r="A2" s="73" t="n"/>
      <c r="B2" s="74" t="n"/>
      <c r="C2" s="75" t="n"/>
      <c r="D2" s="76" t="inlineStr">
        <is>
          <t>Suivi de la Maintenance Corrective - THOR</t>
        </is>
      </c>
      <c r="E2" s="71" t="n"/>
      <c r="F2" s="71" t="n"/>
      <c r="G2" s="71" t="n"/>
      <c r="H2" s="71" t="n"/>
      <c r="I2" s="71" t="n"/>
      <c r="J2" s="71" t="n"/>
      <c r="K2" s="71" t="n"/>
      <c r="L2" s="72" t="n"/>
      <c r="M2" s="1" t="inlineStr">
        <is>
          <t>Date</t>
        </is>
      </c>
      <c r="N2" s="3" t="n">
        <v>45424</v>
      </c>
    </row>
    <row r="3" ht="7.5" customHeight="1"/>
    <row r="4" ht="22.5" customHeight="1" thickBot="1">
      <c r="A4" s="77" t="inlineStr">
        <is>
          <t>Enregistrement des données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9" t="n"/>
    </row>
    <row r="5" ht="31.5" customHeight="1">
      <c r="A5" s="33" t="inlineStr">
        <is>
          <t xml:space="preserve">Date </t>
        </is>
      </c>
      <c r="B5" s="34" t="inlineStr">
        <is>
          <t>Semaine</t>
        </is>
      </c>
      <c r="C5" s="34" t="inlineStr">
        <is>
          <t>Mois</t>
        </is>
      </c>
      <c r="D5" s="35" t="inlineStr">
        <is>
          <t>Shift</t>
        </is>
      </c>
      <c r="E5" s="35" t="inlineStr">
        <is>
          <t>PROJET</t>
        </is>
      </c>
      <c r="F5" s="33" t="inlineStr">
        <is>
          <t>Machine</t>
        </is>
      </c>
      <c r="G5" s="35" t="inlineStr">
        <is>
          <t>Outil 
(Applicateur, Test, Tableau, Press manuelle)</t>
        </is>
      </c>
      <c r="H5" s="35" t="inlineStr">
        <is>
          <t>Type d'intervention</t>
        </is>
      </c>
      <c r="I5" s="36" t="inlineStr">
        <is>
          <t>Intervenant</t>
        </is>
      </c>
      <c r="J5" s="36" t="inlineStr">
        <is>
          <t>Durée de l'Arrêt
(min)</t>
        </is>
      </c>
      <c r="K5" s="33" t="inlineStr">
        <is>
          <t>Problème</t>
        </is>
      </c>
      <c r="L5" s="35" t="inlineStr">
        <is>
          <t>Détails de l'intervention</t>
        </is>
      </c>
      <c r="M5" s="35" t="inlineStr">
        <is>
          <t>Status Intervention</t>
        </is>
      </c>
      <c r="N5" s="33" t="inlineStr">
        <is>
          <t xml:space="preserve">Risque de Sécurité (après l'intervention Maintenance) </t>
        </is>
      </c>
    </row>
    <row r="6">
      <c r="A6" s="80" t="n">
        <v>46140</v>
      </c>
      <c r="D6" t="inlineStr">
        <is>
          <t>B</t>
        </is>
      </c>
      <c r="F6" t="inlineStr">
        <is>
          <t>KOMAX A1</t>
        </is>
      </c>
      <c r="M6" t="inlineStr">
        <is>
          <t>Closed</t>
        </is>
      </c>
    </row>
    <row r="7" ht="27.5" customHeight="1">
      <c r="A7" s="80" t="n">
        <v>46186</v>
      </c>
      <c r="D7" t="inlineStr">
        <is>
          <t>B</t>
        </is>
      </c>
      <c r="F7" t="inlineStr">
        <is>
          <t>KOMAX A1</t>
        </is>
      </c>
      <c r="M7" t="inlineStr">
        <is>
          <t>Open</t>
        </is>
      </c>
    </row>
    <row r="8" ht="27.5" customHeight="1">
      <c r="A8" s="80" t="n">
        <v>46127</v>
      </c>
      <c r="D8" t="inlineStr">
        <is>
          <t>B</t>
        </is>
      </c>
      <c r="F8" t="inlineStr">
        <is>
          <t>KOMAX A1</t>
        </is>
      </c>
      <c r="M8" t="inlineStr">
        <is>
          <t>Closed</t>
        </is>
      </c>
    </row>
    <row r="9" ht="27.5" customHeight="1">
      <c r="A9" s="80" t="n">
        <v>46194</v>
      </c>
      <c r="D9" t="inlineStr">
        <is>
          <t>A</t>
        </is>
      </c>
      <c r="F9" t="inlineStr">
        <is>
          <t>PRESS M5</t>
        </is>
      </c>
      <c r="M9" t="inlineStr">
        <is>
          <t>Closed</t>
        </is>
      </c>
    </row>
    <row r="10">
      <c r="A10" s="80" t="n">
        <v>46100</v>
      </c>
      <c r="D10" t="inlineStr">
        <is>
          <t>C</t>
        </is>
      </c>
      <c r="F10" t="inlineStr">
        <is>
          <t>KOMAX A1</t>
        </is>
      </c>
      <c r="M10" t="inlineStr">
        <is>
          <t>Open</t>
        </is>
      </c>
    </row>
    <row r="11">
      <c r="A11" s="80" t="n">
        <v>46071</v>
      </c>
      <c r="D11" t="inlineStr">
        <is>
          <t>C</t>
        </is>
      </c>
      <c r="F11" t="inlineStr">
        <is>
          <t>THOR-02</t>
        </is>
      </c>
      <c r="M11" t="inlineStr">
        <is>
          <t>Open</t>
        </is>
      </c>
    </row>
    <row r="12">
      <c r="A12" s="80" t="n">
        <v>46165</v>
      </c>
      <c r="D12" t="inlineStr">
        <is>
          <t>A</t>
        </is>
      </c>
      <c r="F12" t="inlineStr">
        <is>
          <t>THOR-02</t>
        </is>
      </c>
      <c r="M12" t="inlineStr">
        <is>
          <t>Open</t>
        </is>
      </c>
    </row>
    <row r="13">
      <c r="A13" s="80" t="n">
        <v>46140</v>
      </c>
      <c r="D13" t="inlineStr">
        <is>
          <t>B</t>
        </is>
      </c>
      <c r="F13" t="inlineStr">
        <is>
          <t>KOMAX A1</t>
        </is>
      </c>
      <c r="M13" t="inlineStr">
        <is>
          <t>Open</t>
        </is>
      </c>
    </row>
    <row r="14">
      <c r="A14" s="80" t="n">
        <v>46156</v>
      </c>
      <c r="D14" t="inlineStr">
        <is>
          <t>A</t>
        </is>
      </c>
      <c r="F14" t="inlineStr">
        <is>
          <t>PRESS M5</t>
        </is>
      </c>
      <c r="M14" t="inlineStr">
        <is>
          <t>Closed</t>
        </is>
      </c>
    </row>
    <row r="15">
      <c r="A15" s="80" t="n">
        <v>46132</v>
      </c>
      <c r="D15" t="inlineStr">
        <is>
          <t>B</t>
        </is>
      </c>
      <c r="F15" t="inlineStr">
        <is>
          <t>PRESS M5</t>
        </is>
      </c>
      <c r="M15" t="inlineStr">
        <is>
          <t>Closed</t>
        </is>
      </c>
    </row>
    <row r="16">
      <c r="A16" s="80" t="n">
        <v>46025</v>
      </c>
      <c r="D16" t="inlineStr">
        <is>
          <t>A</t>
        </is>
      </c>
      <c r="F16" t="inlineStr">
        <is>
          <t>SCHLEUNIGER S30</t>
        </is>
      </c>
      <c r="M16" t="inlineStr">
        <is>
          <t>Open</t>
        </is>
      </c>
    </row>
    <row r="17">
      <c r="A17" s="80" t="n">
        <v>46087</v>
      </c>
      <c r="D17" t="inlineStr">
        <is>
          <t>B</t>
        </is>
      </c>
      <c r="F17" t="inlineStr">
        <is>
          <t>CRIMP CENTER</t>
        </is>
      </c>
      <c r="M17" t="inlineStr">
        <is>
          <t>Open</t>
        </is>
      </c>
    </row>
    <row r="18">
      <c r="A18" s="80" t="n">
        <v>46043</v>
      </c>
      <c r="D18" t="inlineStr">
        <is>
          <t>C</t>
        </is>
      </c>
      <c r="F18" t="inlineStr">
        <is>
          <t>KOMAX A1</t>
        </is>
      </c>
      <c r="M18" t="inlineStr">
        <is>
          <t>Closed</t>
        </is>
      </c>
    </row>
    <row r="19">
      <c r="A19" s="80" t="n">
        <v>46200</v>
      </c>
      <c r="D19" t="inlineStr">
        <is>
          <t>B</t>
        </is>
      </c>
      <c r="F19" t="inlineStr">
        <is>
          <t>THOR-02</t>
        </is>
      </c>
      <c r="M19" t="inlineStr">
        <is>
          <t>Closed</t>
        </is>
      </c>
    </row>
    <row r="20">
      <c r="A20" s="80" t="n">
        <v>46169</v>
      </c>
      <c r="D20" t="inlineStr">
        <is>
          <t>A</t>
        </is>
      </c>
      <c r="F20" t="inlineStr">
        <is>
          <t>SCHLEUNIGER S30</t>
        </is>
      </c>
      <c r="M20" t="inlineStr">
        <is>
          <t>Closed</t>
        </is>
      </c>
    </row>
    <row r="21">
      <c r="A21" s="80" t="n">
        <v>46201</v>
      </c>
      <c r="D21" t="inlineStr">
        <is>
          <t>B</t>
        </is>
      </c>
      <c r="F21" t="inlineStr">
        <is>
          <t>PRESS M5</t>
        </is>
      </c>
      <c r="M21" t="inlineStr">
        <is>
          <t>Closed</t>
        </is>
      </c>
    </row>
    <row r="22">
      <c r="A22" s="80" t="n">
        <v>46024</v>
      </c>
      <c r="D22" t="inlineStr">
        <is>
          <t>A</t>
        </is>
      </c>
      <c r="F22" t="inlineStr">
        <is>
          <t>SCHLEUNIGER S30</t>
        </is>
      </c>
      <c r="M22" t="inlineStr">
        <is>
          <t>Closed</t>
        </is>
      </c>
    </row>
    <row r="23">
      <c r="A23" s="80" t="n">
        <v>46045</v>
      </c>
      <c r="D23" t="inlineStr">
        <is>
          <t>A</t>
        </is>
      </c>
      <c r="F23" t="inlineStr">
        <is>
          <t>SCHLEUNIGER S30</t>
        </is>
      </c>
      <c r="M23" t="inlineStr">
        <is>
          <t>Open</t>
        </is>
      </c>
    </row>
    <row r="24">
      <c r="A24" s="80" t="n">
        <v>46186</v>
      </c>
      <c r="D24" t="inlineStr">
        <is>
          <t>B</t>
        </is>
      </c>
      <c r="F24" t="inlineStr">
        <is>
          <t>THOR-02</t>
        </is>
      </c>
      <c r="M24" t="inlineStr">
        <is>
          <t>Closed</t>
        </is>
      </c>
    </row>
    <row r="25">
      <c r="A25" s="80" t="n">
        <v>46078</v>
      </c>
      <c r="D25" t="inlineStr">
        <is>
          <t>A</t>
        </is>
      </c>
      <c r="F25" t="inlineStr">
        <is>
          <t>SCHLEUNIGER S30</t>
        </is>
      </c>
      <c r="M25" t="inlineStr">
        <is>
          <t>Closed</t>
        </is>
      </c>
    </row>
    <row r="26">
      <c r="A26" s="80" t="n">
        <v>46168</v>
      </c>
      <c r="D26" t="inlineStr">
        <is>
          <t>B</t>
        </is>
      </c>
      <c r="F26" t="inlineStr">
        <is>
          <t>KOMAX A1</t>
        </is>
      </c>
      <c r="M26" t="inlineStr">
        <is>
          <t>Closed</t>
        </is>
      </c>
    </row>
    <row r="27">
      <c r="A27" s="80" t="n">
        <v>46100</v>
      </c>
      <c r="D27" t="inlineStr">
        <is>
          <t>A</t>
        </is>
      </c>
      <c r="F27" t="inlineStr">
        <is>
          <t>SCHLEUNIGER S30</t>
        </is>
      </c>
      <c r="M27" t="inlineStr">
        <is>
          <t>Closed</t>
        </is>
      </c>
    </row>
    <row r="28">
      <c r="A28" s="80" t="n">
        <v>46194</v>
      </c>
      <c r="D28" t="inlineStr">
        <is>
          <t>A</t>
        </is>
      </c>
      <c r="F28" t="inlineStr">
        <is>
          <t>CRIMP CENTER</t>
        </is>
      </c>
      <c r="M28" t="inlineStr">
        <is>
          <t>Open</t>
        </is>
      </c>
    </row>
    <row r="29">
      <c r="A29" s="80" t="n">
        <v>46125</v>
      </c>
      <c r="D29" t="inlineStr">
        <is>
          <t>A</t>
        </is>
      </c>
      <c r="F29" t="inlineStr">
        <is>
          <t>SCHLEUNIGER S30</t>
        </is>
      </c>
      <c r="M29" t="inlineStr">
        <is>
          <t>Open</t>
        </is>
      </c>
    </row>
    <row r="30">
      <c r="A30" s="80" t="n">
        <v>46144</v>
      </c>
      <c r="D30" t="inlineStr">
        <is>
          <t>A</t>
        </is>
      </c>
      <c r="F30" t="inlineStr">
        <is>
          <t>KOMAX A1</t>
        </is>
      </c>
      <c r="M30" t="inlineStr">
        <is>
          <t>Open</t>
        </is>
      </c>
    </row>
    <row r="31">
      <c r="A31" s="80" t="n">
        <v>46143</v>
      </c>
      <c r="D31" t="inlineStr">
        <is>
          <t>B</t>
        </is>
      </c>
      <c r="F31" t="inlineStr">
        <is>
          <t>KOMAX A1</t>
        </is>
      </c>
      <c r="M31" t="inlineStr">
        <is>
          <t>Open</t>
        </is>
      </c>
    </row>
    <row r="32">
      <c r="A32" s="80" t="n">
        <v>46149</v>
      </c>
      <c r="D32" t="inlineStr">
        <is>
          <t>A</t>
        </is>
      </c>
      <c r="F32" t="inlineStr">
        <is>
          <t>SCHLEUNIGER S30</t>
        </is>
      </c>
      <c r="M32" t="inlineStr">
        <is>
          <t>Open</t>
        </is>
      </c>
    </row>
    <row r="33">
      <c r="A33" s="80" t="n">
        <v>46163</v>
      </c>
      <c r="D33" t="inlineStr">
        <is>
          <t>A</t>
        </is>
      </c>
      <c r="F33" t="inlineStr">
        <is>
          <t>THOR-02</t>
        </is>
      </c>
      <c r="M33" t="inlineStr">
        <is>
          <t>Closed</t>
        </is>
      </c>
    </row>
    <row r="34">
      <c r="A34" s="80" t="n">
        <v>46182</v>
      </c>
      <c r="D34" t="inlineStr">
        <is>
          <t>C</t>
        </is>
      </c>
      <c r="F34" t="inlineStr">
        <is>
          <t>KOMAX A1</t>
        </is>
      </c>
      <c r="M34" t="inlineStr">
        <is>
          <t>Closed</t>
        </is>
      </c>
    </row>
    <row r="35">
      <c r="A35" s="80" t="n">
        <v>46096</v>
      </c>
      <c r="D35" t="inlineStr">
        <is>
          <t>B</t>
        </is>
      </c>
      <c r="F35" t="inlineStr">
        <is>
          <t>CRIMP CENTER</t>
        </is>
      </c>
      <c r="M35" t="inlineStr">
        <is>
          <t>Closed</t>
        </is>
      </c>
    </row>
    <row r="36">
      <c r="A36" s="80" t="n">
        <v>46147</v>
      </c>
      <c r="D36" t="inlineStr">
        <is>
          <t>A</t>
        </is>
      </c>
      <c r="F36" t="inlineStr">
        <is>
          <t>THOR-02</t>
        </is>
      </c>
      <c r="M36" t="inlineStr">
        <is>
          <t>Closed</t>
        </is>
      </c>
    </row>
    <row r="37">
      <c r="A37" s="80" t="n">
        <v>46074</v>
      </c>
      <c r="D37" t="inlineStr">
        <is>
          <t>B</t>
        </is>
      </c>
      <c r="F37" t="inlineStr">
        <is>
          <t>PRESS M5</t>
        </is>
      </c>
      <c r="M37" t="inlineStr">
        <is>
          <t>Open</t>
        </is>
      </c>
    </row>
    <row r="38">
      <c r="A38" s="80" t="n">
        <v>46183</v>
      </c>
      <c r="D38" t="inlineStr">
        <is>
          <t>B</t>
        </is>
      </c>
      <c r="F38" t="inlineStr">
        <is>
          <t>PRESS M5</t>
        </is>
      </c>
      <c r="M38" t="inlineStr">
        <is>
          <t>Open</t>
        </is>
      </c>
    </row>
    <row r="39">
      <c r="A39" s="80" t="n">
        <v>46090</v>
      </c>
      <c r="D39" t="inlineStr">
        <is>
          <t>C</t>
        </is>
      </c>
      <c r="F39" t="inlineStr">
        <is>
          <t>CRIMP CENTER</t>
        </is>
      </c>
      <c r="M39" t="inlineStr">
        <is>
          <t>Closed</t>
        </is>
      </c>
    </row>
    <row r="40">
      <c r="A40" s="80" t="n">
        <v>46089</v>
      </c>
      <c r="D40" t="inlineStr">
        <is>
          <t>A</t>
        </is>
      </c>
      <c r="F40" t="inlineStr">
        <is>
          <t>PRESS M5</t>
        </is>
      </c>
      <c r="M40" t="inlineStr">
        <is>
          <t>Open</t>
        </is>
      </c>
    </row>
    <row r="41">
      <c r="A41" s="80" t="n">
        <v>46145</v>
      </c>
      <c r="D41" t="inlineStr">
        <is>
          <t>C</t>
        </is>
      </c>
      <c r="F41" t="inlineStr">
        <is>
          <t>SCHLEUNIGER S30</t>
        </is>
      </c>
      <c r="M41" t="inlineStr">
        <is>
          <t>Closed</t>
        </is>
      </c>
    </row>
    <row r="42">
      <c r="A42" s="80" t="n">
        <v>46133</v>
      </c>
      <c r="D42" t="inlineStr">
        <is>
          <t>B</t>
        </is>
      </c>
      <c r="F42" t="inlineStr">
        <is>
          <t>KOMAX A1</t>
        </is>
      </c>
      <c r="M42" t="inlineStr">
        <is>
          <t>Open</t>
        </is>
      </c>
    </row>
    <row r="43">
      <c r="A43" s="80" t="n">
        <v>46176</v>
      </c>
      <c r="D43" t="inlineStr">
        <is>
          <t>A</t>
        </is>
      </c>
      <c r="F43" t="inlineStr">
        <is>
          <t>SCHLEUNIGER S30</t>
        </is>
      </c>
      <c r="M43" t="inlineStr">
        <is>
          <t>Open</t>
        </is>
      </c>
    </row>
    <row r="44">
      <c r="A44" s="80" t="n">
        <v>46034</v>
      </c>
      <c r="D44" t="inlineStr">
        <is>
          <t>B</t>
        </is>
      </c>
      <c r="F44" t="inlineStr">
        <is>
          <t>PRESS M5</t>
        </is>
      </c>
      <c r="M44" t="inlineStr">
        <is>
          <t>Open</t>
        </is>
      </c>
    </row>
    <row r="45">
      <c r="A45" s="80" t="n">
        <v>46100</v>
      </c>
      <c r="D45" t="inlineStr">
        <is>
          <t>A</t>
        </is>
      </c>
      <c r="F45" t="inlineStr">
        <is>
          <t>KOMAX A1</t>
        </is>
      </c>
      <c r="M45" t="inlineStr">
        <is>
          <t>Closed</t>
        </is>
      </c>
    </row>
    <row r="46">
      <c r="A46" s="80" t="n">
        <v>46131</v>
      </c>
      <c r="D46" t="inlineStr">
        <is>
          <t>A</t>
        </is>
      </c>
      <c r="F46" t="inlineStr">
        <is>
          <t>PRESS M5</t>
        </is>
      </c>
      <c r="M46" t="inlineStr">
        <is>
          <t>Open</t>
        </is>
      </c>
    </row>
    <row r="47">
      <c r="A47" s="80" t="n">
        <v>46074</v>
      </c>
      <c r="D47" t="inlineStr">
        <is>
          <t>A</t>
        </is>
      </c>
      <c r="F47" t="inlineStr">
        <is>
          <t>SCHLEUNIGER S30</t>
        </is>
      </c>
      <c r="M47" t="inlineStr">
        <is>
          <t>Open</t>
        </is>
      </c>
    </row>
    <row r="48">
      <c r="A48" s="80" t="n">
        <v>46027</v>
      </c>
      <c r="D48" t="inlineStr">
        <is>
          <t>C</t>
        </is>
      </c>
      <c r="F48" t="inlineStr">
        <is>
          <t>KOMAX A1</t>
        </is>
      </c>
      <c r="M48" t="inlineStr">
        <is>
          <t>Closed</t>
        </is>
      </c>
    </row>
    <row r="49">
      <c r="A49" s="80" t="n">
        <v>46180</v>
      </c>
      <c r="D49" t="inlineStr">
        <is>
          <t>C</t>
        </is>
      </c>
      <c r="F49" t="inlineStr">
        <is>
          <t>KOMAX A1</t>
        </is>
      </c>
      <c r="M49" t="inlineStr">
        <is>
          <t>Open</t>
        </is>
      </c>
    </row>
    <row r="50">
      <c r="A50" s="80" t="n">
        <v>46177</v>
      </c>
      <c r="D50" t="inlineStr">
        <is>
          <t>B</t>
        </is>
      </c>
      <c r="F50" t="inlineStr">
        <is>
          <t>KOMAX A1</t>
        </is>
      </c>
      <c r="M50" t="inlineStr">
        <is>
          <t>Open</t>
        </is>
      </c>
    </row>
    <row r="51">
      <c r="A51" s="80" t="n">
        <v>46057</v>
      </c>
      <c r="D51" t="inlineStr">
        <is>
          <t>C</t>
        </is>
      </c>
      <c r="F51" t="inlineStr">
        <is>
          <t>SCHLEUNIGER S30</t>
        </is>
      </c>
      <c r="M51" t="inlineStr">
        <is>
          <t>Closed</t>
        </is>
      </c>
    </row>
    <row r="52">
      <c r="A52" s="80" t="n">
        <v>46037</v>
      </c>
      <c r="D52" t="inlineStr">
        <is>
          <t>B</t>
        </is>
      </c>
      <c r="F52" t="inlineStr">
        <is>
          <t>THOR-02</t>
        </is>
      </c>
      <c r="M52" t="inlineStr">
        <is>
          <t>Open</t>
        </is>
      </c>
    </row>
    <row r="53">
      <c r="A53" s="80" t="n">
        <v>46023</v>
      </c>
      <c r="D53" t="inlineStr">
        <is>
          <t>B</t>
        </is>
      </c>
      <c r="F53" t="inlineStr">
        <is>
          <t>CRIMP CENTER</t>
        </is>
      </c>
      <c r="M53" t="inlineStr">
        <is>
          <t>Closed</t>
        </is>
      </c>
    </row>
    <row r="54">
      <c r="A54" s="80" t="n">
        <v>46198</v>
      </c>
      <c r="D54" t="inlineStr">
        <is>
          <t>B</t>
        </is>
      </c>
      <c r="F54" t="inlineStr">
        <is>
          <t>THOR-02</t>
        </is>
      </c>
      <c r="M54" t="inlineStr">
        <is>
          <t>Closed</t>
        </is>
      </c>
    </row>
    <row r="55">
      <c r="A55" s="80" t="n">
        <v>46186</v>
      </c>
      <c r="D55" t="inlineStr">
        <is>
          <t>C</t>
        </is>
      </c>
      <c r="F55" t="inlineStr">
        <is>
          <t>THOR-02</t>
        </is>
      </c>
      <c r="M55" t="inlineStr">
        <is>
          <t>Closed</t>
        </is>
      </c>
    </row>
    <row r="56">
      <c r="A56" s="80" t="n">
        <v>46043</v>
      </c>
      <c r="D56" t="inlineStr">
        <is>
          <t>B</t>
        </is>
      </c>
      <c r="F56" t="inlineStr">
        <is>
          <t>CRIMP CENTER</t>
        </is>
      </c>
      <c r="M56" t="inlineStr">
        <is>
          <t>Open</t>
        </is>
      </c>
    </row>
    <row r="57">
      <c r="A57" s="80" t="n">
        <v>46097</v>
      </c>
      <c r="D57" t="inlineStr">
        <is>
          <t>C</t>
        </is>
      </c>
      <c r="F57" t="inlineStr">
        <is>
          <t>PRESS M5</t>
        </is>
      </c>
      <c r="M57" t="inlineStr">
        <is>
          <t>Closed</t>
        </is>
      </c>
    </row>
    <row r="58">
      <c r="A58" s="80" t="n">
        <v>46148</v>
      </c>
      <c r="D58" t="inlineStr">
        <is>
          <t>B</t>
        </is>
      </c>
      <c r="F58" t="inlineStr">
        <is>
          <t>SCHLEUNIGER S30</t>
        </is>
      </c>
      <c r="M58" t="inlineStr">
        <is>
          <t>Closed</t>
        </is>
      </c>
    </row>
    <row r="59">
      <c r="A59" s="80" t="n">
        <v>46168</v>
      </c>
      <c r="D59" t="inlineStr">
        <is>
          <t>C</t>
        </is>
      </c>
      <c r="F59" t="inlineStr">
        <is>
          <t>PRESS M5</t>
        </is>
      </c>
      <c r="M59" t="inlineStr">
        <is>
          <t>Closed</t>
        </is>
      </c>
    </row>
    <row r="60">
      <c r="A60" s="80" t="n">
        <v>46086</v>
      </c>
      <c r="D60" t="inlineStr">
        <is>
          <t>B</t>
        </is>
      </c>
      <c r="F60" t="inlineStr">
        <is>
          <t>PRESS M5</t>
        </is>
      </c>
      <c r="M60" t="inlineStr">
        <is>
          <t>Closed</t>
        </is>
      </c>
    </row>
    <row r="61">
      <c r="A61" s="80" t="n">
        <v>46143</v>
      </c>
      <c r="D61" t="inlineStr">
        <is>
          <t>B</t>
        </is>
      </c>
      <c r="F61" t="inlineStr">
        <is>
          <t>SCHLEUNIGER S30</t>
        </is>
      </c>
      <c r="M61" t="inlineStr">
        <is>
          <t>Open</t>
        </is>
      </c>
    </row>
    <row r="62">
      <c r="A62" s="80" t="n">
        <v>46081</v>
      </c>
      <c r="D62" t="inlineStr">
        <is>
          <t>A</t>
        </is>
      </c>
      <c r="F62" t="inlineStr">
        <is>
          <t>KOMAX A1</t>
        </is>
      </c>
      <c r="M62" t="inlineStr">
        <is>
          <t>Open</t>
        </is>
      </c>
    </row>
    <row r="63">
      <c r="A63" s="80" t="n">
        <v>46174</v>
      </c>
      <c r="D63" t="inlineStr">
        <is>
          <t>C</t>
        </is>
      </c>
      <c r="F63" t="inlineStr">
        <is>
          <t>CRIMP CENTER</t>
        </is>
      </c>
      <c r="M63" t="inlineStr">
        <is>
          <t>Closed</t>
        </is>
      </c>
    </row>
    <row r="64">
      <c r="A64" s="80" t="n">
        <v>46083</v>
      </c>
      <c r="D64" t="inlineStr">
        <is>
          <t>B</t>
        </is>
      </c>
      <c r="F64" t="inlineStr">
        <is>
          <t>SCHLEUNIGER S30</t>
        </is>
      </c>
      <c r="M64" t="inlineStr">
        <is>
          <t>Closed</t>
        </is>
      </c>
    </row>
    <row r="65">
      <c r="A65" s="80" t="n">
        <v>46045</v>
      </c>
      <c r="D65" t="inlineStr">
        <is>
          <t>A</t>
        </is>
      </c>
      <c r="F65" t="inlineStr">
        <is>
          <t>KOMAX A1</t>
        </is>
      </c>
      <c r="M65" t="inlineStr">
        <is>
          <t>Closed</t>
        </is>
      </c>
    </row>
    <row r="66">
      <c r="A66" s="80" t="n">
        <v>46061</v>
      </c>
      <c r="D66" t="inlineStr">
        <is>
          <t>C</t>
        </is>
      </c>
      <c r="F66" t="inlineStr">
        <is>
          <t>KOMAX A1</t>
        </is>
      </c>
      <c r="M66" t="inlineStr">
        <is>
          <t>Open</t>
        </is>
      </c>
    </row>
    <row r="67">
      <c r="A67" s="80" t="n">
        <v>46083</v>
      </c>
      <c r="D67" t="inlineStr">
        <is>
          <t>A</t>
        </is>
      </c>
      <c r="F67" t="inlineStr">
        <is>
          <t>THOR-02</t>
        </is>
      </c>
      <c r="M67" t="inlineStr">
        <is>
          <t>Open</t>
        </is>
      </c>
    </row>
    <row r="68">
      <c r="A68" s="80" t="n">
        <v>46026</v>
      </c>
      <c r="D68" t="inlineStr">
        <is>
          <t>A</t>
        </is>
      </c>
      <c r="F68" t="inlineStr">
        <is>
          <t>PRESS M5</t>
        </is>
      </c>
      <c r="M68" t="inlineStr">
        <is>
          <t>Open</t>
        </is>
      </c>
    </row>
    <row r="69">
      <c r="A69" s="80" t="n">
        <v>46060</v>
      </c>
      <c r="D69" t="inlineStr">
        <is>
          <t>C</t>
        </is>
      </c>
      <c r="F69" t="inlineStr">
        <is>
          <t>PRESS M5</t>
        </is>
      </c>
      <c r="M69" t="inlineStr">
        <is>
          <t>Closed</t>
        </is>
      </c>
    </row>
    <row r="70">
      <c r="A70" s="80" t="n">
        <v>46113</v>
      </c>
      <c r="D70" t="inlineStr">
        <is>
          <t>B</t>
        </is>
      </c>
      <c r="F70" t="inlineStr">
        <is>
          <t>SCHLEUNIGER S30</t>
        </is>
      </c>
      <c r="M70" t="inlineStr">
        <is>
          <t>Open</t>
        </is>
      </c>
    </row>
    <row r="71">
      <c r="A71" s="80" t="n">
        <v>46179</v>
      </c>
      <c r="D71" t="inlineStr">
        <is>
          <t>A</t>
        </is>
      </c>
      <c r="F71" t="inlineStr">
        <is>
          <t>THOR-02</t>
        </is>
      </c>
      <c r="M71" t="inlineStr">
        <is>
          <t>Open</t>
        </is>
      </c>
    </row>
    <row r="72">
      <c r="A72" s="80" t="n">
        <v>46042</v>
      </c>
      <c r="D72" t="inlineStr">
        <is>
          <t>C</t>
        </is>
      </c>
      <c r="F72" t="inlineStr">
        <is>
          <t>KOMAX A1</t>
        </is>
      </c>
      <c r="M72" t="inlineStr">
        <is>
          <t>Open</t>
        </is>
      </c>
    </row>
    <row r="73">
      <c r="A73" s="80" t="n">
        <v>46098</v>
      </c>
      <c r="D73" t="inlineStr">
        <is>
          <t>C</t>
        </is>
      </c>
      <c r="F73" t="inlineStr">
        <is>
          <t>THOR-02</t>
        </is>
      </c>
      <c r="M73" t="inlineStr">
        <is>
          <t>Open</t>
        </is>
      </c>
    </row>
    <row r="74">
      <c r="A74" s="80" t="n">
        <v>46155</v>
      </c>
      <c r="D74" t="inlineStr">
        <is>
          <t>A</t>
        </is>
      </c>
      <c r="F74" t="inlineStr">
        <is>
          <t>PRESS M5</t>
        </is>
      </c>
      <c r="M74" t="inlineStr">
        <is>
          <t>Closed</t>
        </is>
      </c>
    </row>
    <row r="75">
      <c r="A75" s="80" t="n">
        <v>46027</v>
      </c>
      <c r="D75" t="inlineStr">
        <is>
          <t>B</t>
        </is>
      </c>
      <c r="F75" t="inlineStr">
        <is>
          <t>KOMAX A1</t>
        </is>
      </c>
      <c r="M75" t="inlineStr">
        <is>
          <t>Closed</t>
        </is>
      </c>
    </row>
    <row r="76">
      <c r="A76" s="80" t="n">
        <v>46122</v>
      </c>
      <c r="D76" t="inlineStr">
        <is>
          <t>A</t>
        </is>
      </c>
      <c r="F76" t="inlineStr">
        <is>
          <t>KOMAX A1</t>
        </is>
      </c>
      <c r="M76" t="inlineStr">
        <is>
          <t>Closed</t>
        </is>
      </c>
    </row>
    <row r="77">
      <c r="A77" s="80" t="n">
        <v>46180</v>
      </c>
      <c r="D77" t="inlineStr">
        <is>
          <t>A</t>
        </is>
      </c>
      <c r="F77" t="inlineStr">
        <is>
          <t>SCHLEUNIGER S30</t>
        </is>
      </c>
      <c r="M77" t="inlineStr">
        <is>
          <t>Open</t>
        </is>
      </c>
    </row>
    <row r="78">
      <c r="A78" s="80" t="n">
        <v>46182</v>
      </c>
      <c r="D78" t="inlineStr">
        <is>
          <t>A</t>
        </is>
      </c>
      <c r="F78" t="inlineStr">
        <is>
          <t>PRESS M5</t>
        </is>
      </c>
      <c r="M78" t="inlineStr">
        <is>
          <t>Open</t>
        </is>
      </c>
    </row>
    <row r="79">
      <c r="A79" s="80" t="n">
        <v>46176</v>
      </c>
      <c r="D79" t="inlineStr">
        <is>
          <t>C</t>
        </is>
      </c>
      <c r="F79" t="inlineStr">
        <is>
          <t>KOMAX A1</t>
        </is>
      </c>
      <c r="M79" t="inlineStr">
        <is>
          <t>Open</t>
        </is>
      </c>
    </row>
    <row r="80">
      <c r="A80" s="80" t="n">
        <v>46167</v>
      </c>
      <c r="D80" t="inlineStr">
        <is>
          <t>B</t>
        </is>
      </c>
      <c r="F80" t="inlineStr">
        <is>
          <t>KOMAX A1</t>
        </is>
      </c>
      <c r="M80" t="inlineStr">
        <is>
          <t>Open</t>
        </is>
      </c>
    </row>
    <row r="81">
      <c r="A81" s="80" t="n">
        <v>46145</v>
      </c>
      <c r="D81" t="inlineStr">
        <is>
          <t>C</t>
        </is>
      </c>
      <c r="F81" t="inlineStr">
        <is>
          <t>THOR-02</t>
        </is>
      </c>
      <c r="M81" t="inlineStr">
        <is>
          <t>Open</t>
        </is>
      </c>
    </row>
    <row r="82">
      <c r="A82" s="80" t="n">
        <v>46129</v>
      </c>
      <c r="D82" t="inlineStr">
        <is>
          <t>C</t>
        </is>
      </c>
      <c r="F82" t="inlineStr">
        <is>
          <t>CRIMP CENTER</t>
        </is>
      </c>
      <c r="M82" t="inlineStr">
        <is>
          <t>Closed</t>
        </is>
      </c>
    </row>
    <row r="83">
      <c r="A83" s="80" t="n">
        <v>46054</v>
      </c>
      <c r="D83" t="inlineStr">
        <is>
          <t>A</t>
        </is>
      </c>
      <c r="F83" t="inlineStr">
        <is>
          <t>KOMAX A1</t>
        </is>
      </c>
      <c r="M83" t="inlineStr">
        <is>
          <t>Open</t>
        </is>
      </c>
    </row>
    <row r="84">
      <c r="A84" s="80" t="n">
        <v>46098</v>
      </c>
      <c r="D84" t="inlineStr">
        <is>
          <t>B</t>
        </is>
      </c>
      <c r="F84" t="inlineStr">
        <is>
          <t>PRESS M5</t>
        </is>
      </c>
      <c r="M84" t="inlineStr">
        <is>
          <t>Open</t>
        </is>
      </c>
    </row>
    <row r="85">
      <c r="A85" s="80" t="n">
        <v>46069</v>
      </c>
      <c r="D85" t="inlineStr">
        <is>
          <t>C</t>
        </is>
      </c>
      <c r="F85" t="inlineStr">
        <is>
          <t>SCHLEUNIGER S30</t>
        </is>
      </c>
      <c r="M85" t="inlineStr">
        <is>
          <t>Open</t>
        </is>
      </c>
    </row>
    <row r="86">
      <c r="A86" s="80" t="n">
        <v>46023</v>
      </c>
      <c r="D86" t="inlineStr">
        <is>
          <t>C</t>
        </is>
      </c>
      <c r="F86" t="inlineStr">
        <is>
          <t>THOR-02</t>
        </is>
      </c>
      <c r="M86" t="inlineStr">
        <is>
          <t>Closed</t>
        </is>
      </c>
    </row>
    <row r="87">
      <c r="A87" s="80" t="n">
        <v>46048</v>
      </c>
      <c r="D87" t="inlineStr">
        <is>
          <t>A</t>
        </is>
      </c>
      <c r="F87" t="inlineStr">
        <is>
          <t>PRESS M5</t>
        </is>
      </c>
      <c r="M87" t="inlineStr">
        <is>
          <t>Open</t>
        </is>
      </c>
    </row>
    <row r="88">
      <c r="A88" s="80" t="n">
        <v>46025</v>
      </c>
      <c r="D88" t="inlineStr">
        <is>
          <t>B</t>
        </is>
      </c>
      <c r="F88" t="inlineStr">
        <is>
          <t>KOMAX A1</t>
        </is>
      </c>
      <c r="M88" t="inlineStr">
        <is>
          <t>Closed</t>
        </is>
      </c>
    </row>
    <row r="89">
      <c r="A89" s="80" t="n">
        <v>46192</v>
      </c>
      <c r="D89" t="inlineStr">
        <is>
          <t>B</t>
        </is>
      </c>
      <c r="F89" t="inlineStr">
        <is>
          <t>CRIMP CENTER</t>
        </is>
      </c>
      <c r="M89" t="inlineStr">
        <is>
          <t>Closed</t>
        </is>
      </c>
    </row>
    <row r="90">
      <c r="A90" s="80" t="n">
        <v>46174</v>
      </c>
      <c r="D90" t="inlineStr">
        <is>
          <t>A</t>
        </is>
      </c>
      <c r="F90" t="inlineStr">
        <is>
          <t>SCHLEUNIGER S30</t>
        </is>
      </c>
      <c r="M90" t="inlineStr">
        <is>
          <t>Open</t>
        </is>
      </c>
    </row>
    <row r="91">
      <c r="A91" s="80" t="n">
        <v>46026</v>
      </c>
      <c r="D91" t="inlineStr">
        <is>
          <t>A</t>
        </is>
      </c>
      <c r="F91" t="inlineStr">
        <is>
          <t>KOMAX A1</t>
        </is>
      </c>
      <c r="M91" t="inlineStr">
        <is>
          <t>Open</t>
        </is>
      </c>
    </row>
    <row r="92">
      <c r="A92" s="80" t="n">
        <v>46145</v>
      </c>
      <c r="D92" t="inlineStr">
        <is>
          <t>B</t>
        </is>
      </c>
      <c r="F92" t="inlineStr">
        <is>
          <t>KOMAX A1</t>
        </is>
      </c>
      <c r="M92" t="inlineStr">
        <is>
          <t>Open</t>
        </is>
      </c>
    </row>
    <row r="93">
      <c r="A93" s="80" t="n">
        <v>46161</v>
      </c>
      <c r="D93" t="inlineStr">
        <is>
          <t>B</t>
        </is>
      </c>
      <c r="F93" t="inlineStr">
        <is>
          <t>SCHLEUNIGER S30</t>
        </is>
      </c>
      <c r="M93" t="inlineStr">
        <is>
          <t>Open</t>
        </is>
      </c>
    </row>
    <row r="94">
      <c r="A94" s="80" t="n">
        <v>46042</v>
      </c>
      <c r="D94" t="inlineStr">
        <is>
          <t>C</t>
        </is>
      </c>
      <c r="F94" t="inlineStr">
        <is>
          <t>PRESS M5</t>
        </is>
      </c>
      <c r="M94" t="inlineStr">
        <is>
          <t>Closed</t>
        </is>
      </c>
    </row>
    <row r="95">
      <c r="A95" s="80" t="n">
        <v>46087</v>
      </c>
      <c r="D95" t="inlineStr">
        <is>
          <t>B</t>
        </is>
      </c>
      <c r="F95" t="inlineStr">
        <is>
          <t>THOR-02</t>
        </is>
      </c>
      <c r="M95" t="inlineStr">
        <is>
          <t>Closed</t>
        </is>
      </c>
    </row>
    <row r="96">
      <c r="A96" s="80" t="n">
        <v>46168</v>
      </c>
      <c r="D96" t="inlineStr">
        <is>
          <t>B</t>
        </is>
      </c>
      <c r="F96" t="inlineStr">
        <is>
          <t>THOR-02</t>
        </is>
      </c>
      <c r="M96" t="inlineStr">
        <is>
          <t>Open</t>
        </is>
      </c>
    </row>
    <row r="97">
      <c r="A97" s="80" t="n">
        <v>46101</v>
      </c>
      <c r="D97" t="inlineStr">
        <is>
          <t>B</t>
        </is>
      </c>
      <c r="F97" t="inlineStr">
        <is>
          <t>CRIMP CENTER</t>
        </is>
      </c>
      <c r="M97" t="inlineStr">
        <is>
          <t>Open</t>
        </is>
      </c>
    </row>
    <row r="98">
      <c r="A98" s="80" t="n">
        <v>46174</v>
      </c>
      <c r="D98" t="inlineStr">
        <is>
          <t>C</t>
        </is>
      </c>
      <c r="F98" t="inlineStr">
        <is>
          <t>KOMAX A1</t>
        </is>
      </c>
      <c r="M98" t="inlineStr">
        <is>
          <t>Closed</t>
        </is>
      </c>
    </row>
    <row r="99">
      <c r="A99" s="80" t="n">
        <v>46056</v>
      </c>
      <c r="D99" t="inlineStr">
        <is>
          <t>B</t>
        </is>
      </c>
      <c r="F99" t="inlineStr">
        <is>
          <t>CRIMP CENTER</t>
        </is>
      </c>
      <c r="M99" t="inlineStr">
        <is>
          <t>Open</t>
        </is>
      </c>
    </row>
    <row r="100">
      <c r="A100" s="80" t="n">
        <v>46135</v>
      </c>
      <c r="D100" t="inlineStr">
        <is>
          <t>A</t>
        </is>
      </c>
      <c r="F100" t="inlineStr">
        <is>
          <t>PRESS M5</t>
        </is>
      </c>
      <c r="M100" t="inlineStr">
        <is>
          <t>Open</t>
        </is>
      </c>
    </row>
    <row r="101">
      <c r="A101" s="80" t="n">
        <v>46127</v>
      </c>
      <c r="D101" t="inlineStr">
        <is>
          <t>C</t>
        </is>
      </c>
      <c r="F101" t="inlineStr">
        <is>
          <t>THOR-02</t>
        </is>
      </c>
      <c r="M101" t="inlineStr">
        <is>
          <t>Closed</t>
        </is>
      </c>
    </row>
    <row r="102">
      <c r="A102" s="80" t="n">
        <v>46190</v>
      </c>
      <c r="D102" t="inlineStr">
        <is>
          <t>C</t>
        </is>
      </c>
      <c r="F102" t="inlineStr">
        <is>
          <t>CRIMP CENTER</t>
        </is>
      </c>
      <c r="M102" t="inlineStr">
        <is>
          <t>Open</t>
        </is>
      </c>
    </row>
    <row r="103">
      <c r="A103" s="80" t="n">
        <v>46166</v>
      </c>
      <c r="D103" t="inlineStr">
        <is>
          <t>B</t>
        </is>
      </c>
      <c r="F103" t="inlineStr">
        <is>
          <t>KOMAX A1</t>
        </is>
      </c>
      <c r="M103" t="inlineStr">
        <is>
          <t>Closed</t>
        </is>
      </c>
    </row>
    <row r="104">
      <c r="A104" s="80" t="n">
        <v>46048</v>
      </c>
      <c r="D104" t="inlineStr">
        <is>
          <t>A</t>
        </is>
      </c>
      <c r="F104" t="inlineStr">
        <is>
          <t>KOMAX A1</t>
        </is>
      </c>
      <c r="M104" t="inlineStr">
        <is>
          <t>Open</t>
        </is>
      </c>
    </row>
    <row r="105">
      <c r="A105" s="80" t="n">
        <v>46162</v>
      </c>
      <c r="D105" t="inlineStr">
        <is>
          <t>C</t>
        </is>
      </c>
      <c r="F105" t="inlineStr">
        <is>
          <t>PRESS M5</t>
        </is>
      </c>
      <c r="M105" t="inlineStr">
        <is>
          <t>Open</t>
        </is>
      </c>
    </row>
    <row r="106">
      <c r="A106" s="80" t="n">
        <v>46134</v>
      </c>
      <c r="D106" t="inlineStr">
        <is>
          <t>C</t>
        </is>
      </c>
      <c r="F106" t="inlineStr">
        <is>
          <t>SCHLEUNIGER S30</t>
        </is>
      </c>
      <c r="M106" t="inlineStr">
        <is>
          <t>Open</t>
        </is>
      </c>
    </row>
    <row r="107">
      <c r="A107" s="80" t="n">
        <v>46058</v>
      </c>
      <c r="D107" t="inlineStr">
        <is>
          <t>A</t>
        </is>
      </c>
      <c r="F107" t="inlineStr">
        <is>
          <t>CRIMP CENTER</t>
        </is>
      </c>
      <c r="M107" t="inlineStr">
        <is>
          <t>Closed</t>
        </is>
      </c>
    </row>
    <row r="108">
      <c r="A108" s="80" t="n">
        <v>46170</v>
      </c>
      <c r="D108" t="inlineStr">
        <is>
          <t>A</t>
        </is>
      </c>
      <c r="F108" t="inlineStr">
        <is>
          <t>THOR-02</t>
        </is>
      </c>
      <c r="M108" t="inlineStr">
        <is>
          <t>Open</t>
        </is>
      </c>
    </row>
    <row r="109">
      <c r="A109" s="80" t="n">
        <v>46110</v>
      </c>
      <c r="D109" t="inlineStr">
        <is>
          <t>A</t>
        </is>
      </c>
      <c r="F109" t="inlineStr">
        <is>
          <t>PRESS M5</t>
        </is>
      </c>
      <c r="M109" t="inlineStr">
        <is>
          <t>Open</t>
        </is>
      </c>
    </row>
    <row r="110">
      <c r="A110" s="80" t="n">
        <v>46085</v>
      </c>
      <c r="D110" t="inlineStr">
        <is>
          <t>B</t>
        </is>
      </c>
      <c r="F110" t="inlineStr">
        <is>
          <t>THOR-02</t>
        </is>
      </c>
      <c r="M110" t="inlineStr">
        <is>
          <t>Closed</t>
        </is>
      </c>
    </row>
    <row r="111">
      <c r="A111" s="80" t="n">
        <v>46177</v>
      </c>
      <c r="D111" t="inlineStr">
        <is>
          <t>C</t>
        </is>
      </c>
      <c r="F111" t="inlineStr">
        <is>
          <t>SCHLEUNIGER S30</t>
        </is>
      </c>
      <c r="M111" t="inlineStr">
        <is>
          <t>Closed</t>
        </is>
      </c>
    </row>
    <row r="112">
      <c r="A112" s="80" t="n">
        <v>46185</v>
      </c>
      <c r="D112" t="inlineStr">
        <is>
          <t>B</t>
        </is>
      </c>
      <c r="F112" t="inlineStr">
        <is>
          <t>CRIMP CENTER</t>
        </is>
      </c>
      <c r="M112" t="inlineStr">
        <is>
          <t>Closed</t>
        </is>
      </c>
    </row>
    <row r="113">
      <c r="A113" s="80" t="n">
        <v>46057</v>
      </c>
      <c r="D113" t="inlineStr">
        <is>
          <t>B</t>
        </is>
      </c>
      <c r="F113" t="inlineStr">
        <is>
          <t>PRESS M5</t>
        </is>
      </c>
      <c r="M113" t="inlineStr">
        <is>
          <t>Open</t>
        </is>
      </c>
    </row>
    <row r="114">
      <c r="A114" s="80" t="n">
        <v>46058</v>
      </c>
      <c r="D114" t="inlineStr">
        <is>
          <t>C</t>
        </is>
      </c>
      <c r="F114" t="inlineStr">
        <is>
          <t>PRESS M5</t>
        </is>
      </c>
      <c r="M114" t="inlineStr">
        <is>
          <t>Closed</t>
        </is>
      </c>
    </row>
    <row r="115">
      <c r="A115" s="80" t="n">
        <v>46041</v>
      </c>
      <c r="D115" t="inlineStr">
        <is>
          <t>A</t>
        </is>
      </c>
      <c r="F115" t="inlineStr">
        <is>
          <t>SCHLEUNIGER S30</t>
        </is>
      </c>
      <c r="M115" t="inlineStr">
        <is>
          <t>Closed</t>
        </is>
      </c>
    </row>
    <row r="116">
      <c r="A116" s="80" t="n">
        <v>46116</v>
      </c>
      <c r="D116" t="inlineStr">
        <is>
          <t>C</t>
        </is>
      </c>
      <c r="F116" t="inlineStr">
        <is>
          <t>THOR-02</t>
        </is>
      </c>
      <c r="M116" t="inlineStr">
        <is>
          <t>Open</t>
        </is>
      </c>
    </row>
    <row r="117">
      <c r="A117" s="80" t="n">
        <v>46036</v>
      </c>
      <c r="D117" t="inlineStr">
        <is>
          <t>A</t>
        </is>
      </c>
      <c r="F117" t="inlineStr">
        <is>
          <t>SCHLEUNIGER S30</t>
        </is>
      </c>
      <c r="M117" t="inlineStr">
        <is>
          <t>Closed</t>
        </is>
      </c>
    </row>
    <row r="118">
      <c r="A118" s="80" t="n">
        <v>46074</v>
      </c>
      <c r="D118" t="inlineStr">
        <is>
          <t>B</t>
        </is>
      </c>
      <c r="F118" t="inlineStr">
        <is>
          <t>PRESS M5</t>
        </is>
      </c>
      <c r="M118" t="inlineStr">
        <is>
          <t>Open</t>
        </is>
      </c>
    </row>
    <row r="119">
      <c r="A119" s="80" t="n">
        <v>46131</v>
      </c>
      <c r="D119" t="inlineStr">
        <is>
          <t>A</t>
        </is>
      </c>
      <c r="F119" t="inlineStr">
        <is>
          <t>CRIMP CENTER</t>
        </is>
      </c>
      <c r="M119" t="inlineStr">
        <is>
          <t>Closed</t>
        </is>
      </c>
    </row>
    <row r="120">
      <c r="A120" s="80" t="n">
        <v>46060</v>
      </c>
      <c r="D120" t="inlineStr">
        <is>
          <t>B</t>
        </is>
      </c>
      <c r="F120" t="inlineStr">
        <is>
          <t>SCHLEUNIGER S30</t>
        </is>
      </c>
      <c r="M120" t="inlineStr">
        <is>
          <t>Open</t>
        </is>
      </c>
    </row>
    <row r="121">
      <c r="A121" s="80" t="n">
        <v>46125</v>
      </c>
      <c r="D121" t="inlineStr">
        <is>
          <t>A</t>
        </is>
      </c>
      <c r="F121" t="inlineStr">
        <is>
          <t>THOR-02</t>
        </is>
      </c>
      <c r="M121" t="inlineStr">
        <is>
          <t>Open</t>
        </is>
      </c>
    </row>
    <row r="122">
      <c r="A122" s="80" t="n">
        <v>46119</v>
      </c>
      <c r="D122" t="inlineStr">
        <is>
          <t>C</t>
        </is>
      </c>
      <c r="F122" t="inlineStr">
        <is>
          <t>KOMAX A1</t>
        </is>
      </c>
      <c r="M122" t="inlineStr">
        <is>
          <t>Closed</t>
        </is>
      </c>
    </row>
    <row r="123">
      <c r="A123" s="80" t="n">
        <v>46052</v>
      </c>
      <c r="D123" t="inlineStr">
        <is>
          <t>B</t>
        </is>
      </c>
      <c r="F123" t="inlineStr">
        <is>
          <t>KOMAX A1</t>
        </is>
      </c>
      <c r="M123" t="inlineStr">
        <is>
          <t>Closed</t>
        </is>
      </c>
    </row>
    <row r="124">
      <c r="A124" s="80" t="n">
        <v>46092</v>
      </c>
      <c r="D124" t="inlineStr">
        <is>
          <t>C</t>
        </is>
      </c>
      <c r="F124" t="inlineStr">
        <is>
          <t>THOR-02</t>
        </is>
      </c>
      <c r="M124" t="inlineStr">
        <is>
          <t>Open</t>
        </is>
      </c>
    </row>
    <row r="125">
      <c r="A125" s="80" t="n">
        <v>46177</v>
      </c>
      <c r="D125" t="inlineStr">
        <is>
          <t>A</t>
        </is>
      </c>
      <c r="F125" t="inlineStr">
        <is>
          <t>KOMAX A1</t>
        </is>
      </c>
      <c r="M125" t="inlineStr">
        <is>
          <t>Closed</t>
        </is>
      </c>
    </row>
    <row r="126">
      <c r="A126" s="80" t="n">
        <v>46151</v>
      </c>
      <c r="D126" t="inlineStr">
        <is>
          <t>A</t>
        </is>
      </c>
      <c r="F126" t="inlineStr">
        <is>
          <t>CRIMP CENTER</t>
        </is>
      </c>
      <c r="M126" t="inlineStr">
        <is>
          <t>Closed</t>
        </is>
      </c>
    </row>
    <row r="127">
      <c r="A127" s="80" t="n">
        <v>46142</v>
      </c>
      <c r="D127" t="inlineStr">
        <is>
          <t>C</t>
        </is>
      </c>
      <c r="F127" t="inlineStr">
        <is>
          <t>PRESS M5</t>
        </is>
      </c>
      <c r="M127" t="inlineStr">
        <is>
          <t>Open</t>
        </is>
      </c>
    </row>
    <row r="128">
      <c r="A128" s="80" t="n">
        <v>46169</v>
      </c>
      <c r="D128" t="inlineStr">
        <is>
          <t>A</t>
        </is>
      </c>
      <c r="F128" t="inlineStr">
        <is>
          <t>THOR-02</t>
        </is>
      </c>
      <c r="M128" t="inlineStr">
        <is>
          <t>Open</t>
        </is>
      </c>
    </row>
    <row r="129">
      <c r="A129" s="80" t="n">
        <v>46060</v>
      </c>
      <c r="D129" t="inlineStr">
        <is>
          <t>B</t>
        </is>
      </c>
      <c r="F129" t="inlineStr">
        <is>
          <t>SCHLEUNIGER S30</t>
        </is>
      </c>
      <c r="M129" t="inlineStr">
        <is>
          <t>Closed</t>
        </is>
      </c>
    </row>
    <row r="130">
      <c r="A130" s="80" t="n">
        <v>46105</v>
      </c>
      <c r="D130" t="inlineStr">
        <is>
          <t>C</t>
        </is>
      </c>
      <c r="F130" t="inlineStr">
        <is>
          <t>KOMAX A1</t>
        </is>
      </c>
      <c r="M130" t="inlineStr">
        <is>
          <t>Open</t>
        </is>
      </c>
    </row>
    <row r="131">
      <c r="A131" s="80" t="n">
        <v>46099</v>
      </c>
      <c r="D131" t="inlineStr">
        <is>
          <t>C</t>
        </is>
      </c>
      <c r="F131" t="inlineStr">
        <is>
          <t>CRIMP CENTER</t>
        </is>
      </c>
      <c r="M131" t="inlineStr">
        <is>
          <t>Open</t>
        </is>
      </c>
    </row>
    <row r="132">
      <c r="A132" s="80" t="n">
        <v>46086</v>
      </c>
      <c r="D132" t="inlineStr">
        <is>
          <t>B</t>
        </is>
      </c>
      <c r="F132" t="inlineStr">
        <is>
          <t>THOR-02</t>
        </is>
      </c>
      <c r="M132" t="inlineStr">
        <is>
          <t>Open</t>
        </is>
      </c>
    </row>
    <row r="133">
      <c r="A133" s="80" t="n">
        <v>46078</v>
      </c>
      <c r="D133" t="inlineStr">
        <is>
          <t>A</t>
        </is>
      </c>
      <c r="F133" t="inlineStr">
        <is>
          <t>SCHLEUNIGER S30</t>
        </is>
      </c>
      <c r="M133" t="inlineStr">
        <is>
          <t>Open</t>
        </is>
      </c>
    </row>
    <row r="134">
      <c r="A134" s="80" t="n">
        <v>46115</v>
      </c>
      <c r="D134" t="inlineStr">
        <is>
          <t>C</t>
        </is>
      </c>
      <c r="F134" t="inlineStr">
        <is>
          <t>KOMAX A1</t>
        </is>
      </c>
      <c r="M134" t="inlineStr">
        <is>
          <t>Closed</t>
        </is>
      </c>
    </row>
    <row r="135">
      <c r="A135" s="80" t="n">
        <v>46074</v>
      </c>
      <c r="D135" t="inlineStr">
        <is>
          <t>A</t>
        </is>
      </c>
      <c r="F135" t="inlineStr">
        <is>
          <t>SCHLEUNIGER S30</t>
        </is>
      </c>
      <c r="M135" t="inlineStr">
        <is>
          <t>Closed</t>
        </is>
      </c>
    </row>
    <row r="136">
      <c r="A136" s="80" t="n">
        <v>46125</v>
      </c>
      <c r="D136" t="inlineStr">
        <is>
          <t>A</t>
        </is>
      </c>
      <c r="F136" t="inlineStr">
        <is>
          <t>SCHLEUNIGER S30</t>
        </is>
      </c>
      <c r="M136" t="inlineStr">
        <is>
          <t>Closed</t>
        </is>
      </c>
    </row>
    <row r="137">
      <c r="A137" s="80" t="n">
        <v>46172</v>
      </c>
      <c r="D137" t="inlineStr">
        <is>
          <t>C</t>
        </is>
      </c>
      <c r="F137" t="inlineStr">
        <is>
          <t>THOR-02</t>
        </is>
      </c>
      <c r="M137" t="inlineStr">
        <is>
          <t>Open</t>
        </is>
      </c>
    </row>
    <row r="138">
      <c r="A138" s="80" t="n">
        <v>46199</v>
      </c>
      <c r="D138" t="inlineStr">
        <is>
          <t>B</t>
        </is>
      </c>
      <c r="F138" t="inlineStr">
        <is>
          <t>THOR-02</t>
        </is>
      </c>
      <c r="M138" t="inlineStr">
        <is>
          <t>Open</t>
        </is>
      </c>
    </row>
    <row r="139">
      <c r="A139" s="80" t="n">
        <v>46192</v>
      </c>
      <c r="D139" t="inlineStr">
        <is>
          <t>A</t>
        </is>
      </c>
      <c r="F139" t="inlineStr">
        <is>
          <t>PRESS M5</t>
        </is>
      </c>
      <c r="M139" t="inlineStr">
        <is>
          <t>Open</t>
        </is>
      </c>
    </row>
    <row r="140">
      <c r="A140" s="80" t="n">
        <v>46124</v>
      </c>
      <c r="D140" t="inlineStr">
        <is>
          <t>C</t>
        </is>
      </c>
      <c r="F140" t="inlineStr">
        <is>
          <t>CRIMP CENTER</t>
        </is>
      </c>
      <c r="M140" t="inlineStr">
        <is>
          <t>Closed</t>
        </is>
      </c>
    </row>
    <row r="141">
      <c r="A141" s="80" t="n">
        <v>46086</v>
      </c>
      <c r="D141" t="inlineStr">
        <is>
          <t>A</t>
        </is>
      </c>
      <c r="F141" t="inlineStr">
        <is>
          <t>THOR-02</t>
        </is>
      </c>
      <c r="M141" t="inlineStr">
        <is>
          <t>Open</t>
        </is>
      </c>
    </row>
    <row r="142">
      <c r="A142" s="80" t="n">
        <v>46064</v>
      </c>
      <c r="D142" t="inlineStr">
        <is>
          <t>A</t>
        </is>
      </c>
      <c r="F142" t="inlineStr">
        <is>
          <t>PRESS M5</t>
        </is>
      </c>
      <c r="M142" t="inlineStr">
        <is>
          <t>Open</t>
        </is>
      </c>
    </row>
    <row r="143">
      <c r="A143" s="80" t="n">
        <v>46179</v>
      </c>
      <c r="D143" t="inlineStr">
        <is>
          <t>B</t>
        </is>
      </c>
      <c r="F143" t="inlineStr">
        <is>
          <t>KOMAX A1</t>
        </is>
      </c>
      <c r="M143" t="inlineStr">
        <is>
          <t>Open</t>
        </is>
      </c>
    </row>
    <row r="144">
      <c r="A144" s="80" t="n">
        <v>46050</v>
      </c>
      <c r="D144" t="inlineStr">
        <is>
          <t>B</t>
        </is>
      </c>
      <c r="F144" t="inlineStr">
        <is>
          <t>CRIMP CENTER</t>
        </is>
      </c>
      <c r="M144" t="inlineStr">
        <is>
          <t>Open</t>
        </is>
      </c>
    </row>
    <row r="145">
      <c r="A145" s="80" t="n">
        <v>46175</v>
      </c>
      <c r="D145" t="inlineStr">
        <is>
          <t>C</t>
        </is>
      </c>
      <c r="F145" t="inlineStr">
        <is>
          <t>SCHLEUNIGER S30</t>
        </is>
      </c>
      <c r="M145" t="inlineStr">
        <is>
          <t>Open</t>
        </is>
      </c>
    </row>
    <row r="146">
      <c r="A146" s="80" t="n">
        <v>46095</v>
      </c>
      <c r="D146" t="inlineStr">
        <is>
          <t>B</t>
        </is>
      </c>
      <c r="F146" t="inlineStr">
        <is>
          <t>CRIMP CENTER</t>
        </is>
      </c>
      <c r="M146" t="inlineStr">
        <is>
          <t>Open</t>
        </is>
      </c>
    </row>
    <row r="147">
      <c r="A147" s="80" t="n">
        <v>46087</v>
      </c>
      <c r="D147" t="inlineStr">
        <is>
          <t>A</t>
        </is>
      </c>
      <c r="F147" t="inlineStr">
        <is>
          <t>KOMAX A1</t>
        </is>
      </c>
      <c r="M147" t="inlineStr">
        <is>
          <t>Closed</t>
        </is>
      </c>
    </row>
    <row r="148">
      <c r="A148" s="80" t="n">
        <v>46048</v>
      </c>
      <c r="D148" t="inlineStr">
        <is>
          <t>C</t>
        </is>
      </c>
      <c r="F148" t="inlineStr">
        <is>
          <t>THOR-02</t>
        </is>
      </c>
      <c r="M148" t="inlineStr">
        <is>
          <t>Open</t>
        </is>
      </c>
    </row>
    <row r="149">
      <c r="A149" s="80" t="n">
        <v>46073</v>
      </c>
      <c r="D149" t="inlineStr">
        <is>
          <t>B</t>
        </is>
      </c>
      <c r="F149" t="inlineStr">
        <is>
          <t>KOMAX A1</t>
        </is>
      </c>
      <c r="M149" t="inlineStr">
        <is>
          <t>Open</t>
        </is>
      </c>
    </row>
    <row r="150">
      <c r="A150" s="80" t="n">
        <v>46024</v>
      </c>
      <c r="D150" t="inlineStr">
        <is>
          <t>A</t>
        </is>
      </c>
      <c r="F150" t="inlineStr">
        <is>
          <t>KOMAX A1</t>
        </is>
      </c>
      <c r="M150" t="inlineStr">
        <is>
          <t>Closed</t>
        </is>
      </c>
    </row>
    <row r="151">
      <c r="A151" s="80" t="n">
        <v>46085</v>
      </c>
      <c r="D151" t="inlineStr">
        <is>
          <t>A</t>
        </is>
      </c>
      <c r="F151" t="inlineStr">
        <is>
          <t>CRIMP CENTER</t>
        </is>
      </c>
      <c r="M151" t="inlineStr">
        <is>
          <t>Closed</t>
        </is>
      </c>
    </row>
    <row r="152">
      <c r="A152" s="80" t="n">
        <v>46057</v>
      </c>
      <c r="D152" t="inlineStr">
        <is>
          <t>C</t>
        </is>
      </c>
      <c r="F152" t="inlineStr">
        <is>
          <t>CRIMP CENTER</t>
        </is>
      </c>
      <c r="M152" t="inlineStr">
        <is>
          <t>Closed</t>
        </is>
      </c>
    </row>
    <row r="153">
      <c r="A153" s="80" t="n">
        <v>46152</v>
      </c>
      <c r="D153" t="inlineStr">
        <is>
          <t>A</t>
        </is>
      </c>
      <c r="F153" t="inlineStr">
        <is>
          <t>SCHLEUNIGER S30</t>
        </is>
      </c>
      <c r="M153" t="inlineStr">
        <is>
          <t>Open</t>
        </is>
      </c>
    </row>
    <row r="154">
      <c r="A154" s="80" t="n">
        <v>46145</v>
      </c>
      <c r="D154" t="inlineStr">
        <is>
          <t>C</t>
        </is>
      </c>
      <c r="F154" t="inlineStr">
        <is>
          <t>THOR-02</t>
        </is>
      </c>
      <c r="M154" t="inlineStr">
        <is>
          <t>Closed</t>
        </is>
      </c>
    </row>
    <row r="155">
      <c r="A155" s="80" t="n">
        <v>46069</v>
      </c>
      <c r="D155" t="inlineStr">
        <is>
          <t>C</t>
        </is>
      </c>
      <c r="F155" t="inlineStr">
        <is>
          <t>PRESS M5</t>
        </is>
      </c>
      <c r="M155" t="inlineStr">
        <is>
          <t>Open</t>
        </is>
      </c>
    </row>
    <row r="156">
      <c r="A156" s="80" t="n">
        <v>46145</v>
      </c>
      <c r="D156" t="inlineStr">
        <is>
          <t>B</t>
        </is>
      </c>
      <c r="F156" t="inlineStr">
        <is>
          <t>THOR-02</t>
        </is>
      </c>
      <c r="M156" t="inlineStr">
        <is>
          <t>Open</t>
        </is>
      </c>
    </row>
    <row r="157">
      <c r="A157" s="80" t="n">
        <v>46142</v>
      </c>
      <c r="D157" t="inlineStr">
        <is>
          <t>A</t>
        </is>
      </c>
      <c r="F157" t="inlineStr">
        <is>
          <t>CRIMP CENTER</t>
        </is>
      </c>
      <c r="M157" t="inlineStr">
        <is>
          <t>Closed</t>
        </is>
      </c>
    </row>
    <row r="158">
      <c r="A158" s="80" t="n">
        <v>46202</v>
      </c>
      <c r="D158" t="inlineStr">
        <is>
          <t>B</t>
        </is>
      </c>
      <c r="F158" t="inlineStr">
        <is>
          <t>SCHLEUNIGER S30</t>
        </is>
      </c>
      <c r="M158" t="inlineStr">
        <is>
          <t>Open</t>
        </is>
      </c>
    </row>
    <row r="159">
      <c r="A159" s="80" t="n">
        <v>46062</v>
      </c>
      <c r="D159" t="inlineStr">
        <is>
          <t>C</t>
        </is>
      </c>
      <c r="F159" t="inlineStr">
        <is>
          <t>THOR-02</t>
        </is>
      </c>
      <c r="M159" t="inlineStr">
        <is>
          <t>Open</t>
        </is>
      </c>
    </row>
    <row r="160">
      <c r="A160" s="80" t="n">
        <v>46198</v>
      </c>
      <c r="D160" t="inlineStr">
        <is>
          <t>C</t>
        </is>
      </c>
      <c r="F160" t="inlineStr">
        <is>
          <t>PRESS M5</t>
        </is>
      </c>
      <c r="M160" t="inlineStr">
        <is>
          <t>Open</t>
        </is>
      </c>
    </row>
    <row r="161">
      <c r="A161" s="80" t="n">
        <v>46149</v>
      </c>
      <c r="D161" t="inlineStr">
        <is>
          <t>B</t>
        </is>
      </c>
      <c r="F161" t="inlineStr">
        <is>
          <t>KOMAX A1</t>
        </is>
      </c>
      <c r="M161" t="inlineStr">
        <is>
          <t>Closed</t>
        </is>
      </c>
    </row>
    <row r="162">
      <c r="A162" s="80" t="n">
        <v>46113</v>
      </c>
      <c r="D162" t="inlineStr">
        <is>
          <t>A</t>
        </is>
      </c>
      <c r="F162" t="inlineStr">
        <is>
          <t>KOMAX A1</t>
        </is>
      </c>
      <c r="M162" t="inlineStr">
        <is>
          <t>Open</t>
        </is>
      </c>
    </row>
    <row r="163">
      <c r="A163" s="80" t="n">
        <v>46071</v>
      </c>
      <c r="D163" t="inlineStr">
        <is>
          <t>B</t>
        </is>
      </c>
      <c r="F163" t="inlineStr">
        <is>
          <t>PRESS M5</t>
        </is>
      </c>
      <c r="M163" t="inlineStr">
        <is>
          <t>Open</t>
        </is>
      </c>
    </row>
    <row r="164">
      <c r="A164" s="80" t="n">
        <v>46175</v>
      </c>
      <c r="D164" t="inlineStr">
        <is>
          <t>B</t>
        </is>
      </c>
      <c r="F164" t="inlineStr">
        <is>
          <t>PRESS M5</t>
        </is>
      </c>
      <c r="M164" t="inlineStr">
        <is>
          <t>Open</t>
        </is>
      </c>
    </row>
    <row r="165">
      <c r="A165" s="80" t="n">
        <v>46194</v>
      </c>
      <c r="D165" t="inlineStr">
        <is>
          <t>C</t>
        </is>
      </c>
      <c r="F165" t="inlineStr">
        <is>
          <t>SCHLEUNIGER S30</t>
        </is>
      </c>
      <c r="M165" t="inlineStr">
        <is>
          <t>Closed</t>
        </is>
      </c>
    </row>
    <row r="166">
      <c r="A166" s="80" t="n">
        <v>46031</v>
      </c>
      <c r="D166" t="inlineStr">
        <is>
          <t>A</t>
        </is>
      </c>
      <c r="F166" t="inlineStr">
        <is>
          <t>CRIMP CENTER</t>
        </is>
      </c>
      <c r="M166" t="inlineStr">
        <is>
          <t>Closed</t>
        </is>
      </c>
    </row>
    <row r="167">
      <c r="A167" s="80" t="n">
        <v>46067</v>
      </c>
      <c r="D167" t="inlineStr">
        <is>
          <t>C</t>
        </is>
      </c>
      <c r="F167" t="inlineStr">
        <is>
          <t>PRESS M5</t>
        </is>
      </c>
      <c r="M167" t="inlineStr">
        <is>
          <t>Open</t>
        </is>
      </c>
    </row>
    <row r="168">
      <c r="A168" s="80" t="n">
        <v>46032</v>
      </c>
      <c r="D168" t="inlineStr">
        <is>
          <t>A</t>
        </is>
      </c>
      <c r="F168" t="inlineStr">
        <is>
          <t>SCHLEUNIGER S30</t>
        </is>
      </c>
      <c r="M168" t="inlineStr">
        <is>
          <t>Closed</t>
        </is>
      </c>
    </row>
    <row r="169">
      <c r="A169" s="80" t="n">
        <v>46160</v>
      </c>
      <c r="D169" t="inlineStr">
        <is>
          <t>A</t>
        </is>
      </c>
      <c r="F169" t="inlineStr">
        <is>
          <t>SCHLEUNIGER S30</t>
        </is>
      </c>
      <c r="M169" t="inlineStr">
        <is>
          <t>Closed</t>
        </is>
      </c>
    </row>
    <row r="170">
      <c r="A170" s="80" t="n">
        <v>46101</v>
      </c>
      <c r="D170" t="inlineStr">
        <is>
          <t>A</t>
        </is>
      </c>
      <c r="F170" t="inlineStr">
        <is>
          <t>PRESS M5</t>
        </is>
      </c>
      <c r="M170" t="inlineStr">
        <is>
          <t>Closed</t>
        </is>
      </c>
    </row>
    <row r="171">
      <c r="A171" s="80" t="n">
        <v>46032</v>
      </c>
      <c r="D171" t="inlineStr">
        <is>
          <t>B</t>
        </is>
      </c>
      <c r="F171" t="inlineStr">
        <is>
          <t>CRIMP CENTER</t>
        </is>
      </c>
      <c r="M171" t="inlineStr">
        <is>
          <t>Closed</t>
        </is>
      </c>
    </row>
    <row r="172">
      <c r="A172" s="80" t="n">
        <v>46170</v>
      </c>
      <c r="D172" t="inlineStr">
        <is>
          <t>A</t>
        </is>
      </c>
      <c r="F172" t="inlineStr">
        <is>
          <t>SCHLEUNIGER S30</t>
        </is>
      </c>
      <c r="M172" t="inlineStr">
        <is>
          <t>Closed</t>
        </is>
      </c>
    </row>
    <row r="173">
      <c r="A173" s="80" t="n">
        <v>46155</v>
      </c>
      <c r="D173" t="inlineStr">
        <is>
          <t>C</t>
        </is>
      </c>
      <c r="F173" t="inlineStr">
        <is>
          <t>PRESS M5</t>
        </is>
      </c>
      <c r="M173" t="inlineStr">
        <is>
          <t>Closed</t>
        </is>
      </c>
    </row>
    <row r="174">
      <c r="A174" s="80" t="n">
        <v>46198</v>
      </c>
      <c r="D174" t="inlineStr">
        <is>
          <t>C</t>
        </is>
      </c>
      <c r="F174" t="inlineStr">
        <is>
          <t>KOMAX A1</t>
        </is>
      </c>
      <c r="M174" t="inlineStr">
        <is>
          <t>Open</t>
        </is>
      </c>
    </row>
    <row r="175">
      <c r="A175" s="80" t="n">
        <v>46165</v>
      </c>
      <c r="D175" t="inlineStr">
        <is>
          <t>C</t>
        </is>
      </c>
      <c r="F175" t="inlineStr">
        <is>
          <t>KOMAX A1</t>
        </is>
      </c>
      <c r="M175" t="inlineStr">
        <is>
          <t>Closed</t>
        </is>
      </c>
    </row>
    <row r="176">
      <c r="A176" s="80" t="n">
        <v>46043</v>
      </c>
      <c r="D176" t="inlineStr">
        <is>
          <t>B</t>
        </is>
      </c>
      <c r="F176" t="inlineStr">
        <is>
          <t>PRESS M5</t>
        </is>
      </c>
      <c r="M176" t="inlineStr">
        <is>
          <t>Open</t>
        </is>
      </c>
    </row>
    <row r="177">
      <c r="A177" s="80" t="n">
        <v>46051</v>
      </c>
      <c r="D177" t="inlineStr">
        <is>
          <t>C</t>
        </is>
      </c>
      <c r="F177" t="inlineStr">
        <is>
          <t>THOR-02</t>
        </is>
      </c>
      <c r="M177" t="inlineStr">
        <is>
          <t>Open</t>
        </is>
      </c>
    </row>
    <row r="178">
      <c r="A178" s="80" t="n">
        <v>46199</v>
      </c>
      <c r="D178" t="inlineStr">
        <is>
          <t>B</t>
        </is>
      </c>
      <c r="F178" t="inlineStr">
        <is>
          <t>SCHLEUNIGER S30</t>
        </is>
      </c>
      <c r="M178" t="inlineStr">
        <is>
          <t>Closed</t>
        </is>
      </c>
    </row>
    <row r="179">
      <c r="A179" s="80" t="n">
        <v>46123</v>
      </c>
      <c r="D179" t="inlineStr">
        <is>
          <t>B</t>
        </is>
      </c>
      <c r="F179" t="inlineStr">
        <is>
          <t>SCHLEUNIGER S30</t>
        </is>
      </c>
      <c r="M179" t="inlineStr">
        <is>
          <t>Open</t>
        </is>
      </c>
    </row>
    <row r="180">
      <c r="A180" s="80" t="n">
        <v>46063</v>
      </c>
      <c r="D180" t="inlineStr">
        <is>
          <t>A</t>
        </is>
      </c>
      <c r="F180" t="inlineStr">
        <is>
          <t>SCHLEUNIGER S30</t>
        </is>
      </c>
      <c r="M180" t="inlineStr">
        <is>
          <t>Open</t>
        </is>
      </c>
    </row>
    <row r="181">
      <c r="A181" s="80" t="n">
        <v>46037</v>
      </c>
      <c r="D181" t="inlineStr">
        <is>
          <t>B</t>
        </is>
      </c>
      <c r="F181" t="inlineStr">
        <is>
          <t>KOMAX A1</t>
        </is>
      </c>
      <c r="M181" t="inlineStr">
        <is>
          <t>Open</t>
        </is>
      </c>
    </row>
    <row r="182">
      <c r="A182" s="80" t="n">
        <v>46122</v>
      </c>
      <c r="D182" t="inlineStr">
        <is>
          <t>B</t>
        </is>
      </c>
      <c r="F182" t="inlineStr">
        <is>
          <t>CRIMP CENTER</t>
        </is>
      </c>
      <c r="M182" t="inlineStr">
        <is>
          <t>Open</t>
        </is>
      </c>
    </row>
    <row r="183">
      <c r="A183" s="80" t="n">
        <v>46135</v>
      </c>
      <c r="D183" t="inlineStr">
        <is>
          <t>A</t>
        </is>
      </c>
      <c r="F183" t="inlineStr">
        <is>
          <t>KOMAX A1</t>
        </is>
      </c>
      <c r="M183" t="inlineStr">
        <is>
          <t>Open</t>
        </is>
      </c>
    </row>
    <row r="184">
      <c r="A184" s="80" t="n">
        <v>46042</v>
      </c>
      <c r="D184" t="inlineStr">
        <is>
          <t>C</t>
        </is>
      </c>
      <c r="F184" t="inlineStr">
        <is>
          <t>CRIMP CENTER</t>
        </is>
      </c>
      <c r="M184" t="inlineStr">
        <is>
          <t>Closed</t>
        </is>
      </c>
    </row>
    <row r="185">
      <c r="A185" s="80" t="n">
        <v>46096</v>
      </c>
      <c r="D185" t="inlineStr">
        <is>
          <t>B</t>
        </is>
      </c>
      <c r="F185" t="inlineStr">
        <is>
          <t>KOMAX A1</t>
        </is>
      </c>
      <c r="M185" t="inlineStr">
        <is>
          <t>Open</t>
        </is>
      </c>
    </row>
    <row r="186">
      <c r="A186" s="80" t="n">
        <v>46085</v>
      </c>
      <c r="D186" t="inlineStr">
        <is>
          <t>B</t>
        </is>
      </c>
      <c r="F186" t="inlineStr">
        <is>
          <t>THOR-02</t>
        </is>
      </c>
      <c r="M186" t="inlineStr">
        <is>
          <t>Closed</t>
        </is>
      </c>
    </row>
    <row r="187">
      <c r="A187" s="80" t="n">
        <v>46095</v>
      </c>
      <c r="D187" t="inlineStr">
        <is>
          <t>C</t>
        </is>
      </c>
      <c r="F187" t="inlineStr">
        <is>
          <t>KOMAX A1</t>
        </is>
      </c>
      <c r="M187" t="inlineStr">
        <is>
          <t>Open</t>
        </is>
      </c>
    </row>
    <row r="188">
      <c r="A188" s="80" t="n">
        <v>46181</v>
      </c>
      <c r="D188" t="inlineStr">
        <is>
          <t>C</t>
        </is>
      </c>
      <c r="F188" t="inlineStr">
        <is>
          <t>SCHLEUNIGER S30</t>
        </is>
      </c>
      <c r="M188" t="inlineStr">
        <is>
          <t>Closed</t>
        </is>
      </c>
    </row>
    <row r="189">
      <c r="A189" s="80" t="n">
        <v>46023</v>
      </c>
      <c r="D189" t="inlineStr">
        <is>
          <t>A</t>
        </is>
      </c>
      <c r="F189" t="inlineStr">
        <is>
          <t>KOMAX A1</t>
        </is>
      </c>
      <c r="M189" t="inlineStr">
        <is>
          <t>Closed</t>
        </is>
      </c>
    </row>
    <row r="190">
      <c r="A190" s="80" t="n">
        <v>46112</v>
      </c>
      <c r="D190" t="inlineStr">
        <is>
          <t>B</t>
        </is>
      </c>
      <c r="F190" t="inlineStr">
        <is>
          <t>THOR-02</t>
        </is>
      </c>
      <c r="M190" t="inlineStr">
        <is>
          <t>Closed</t>
        </is>
      </c>
    </row>
    <row r="191">
      <c r="A191" s="80" t="n">
        <v>46167</v>
      </c>
      <c r="D191" t="inlineStr">
        <is>
          <t>B</t>
        </is>
      </c>
      <c r="F191" t="inlineStr">
        <is>
          <t>THOR-02</t>
        </is>
      </c>
      <c r="M191" t="inlineStr">
        <is>
          <t>Closed</t>
        </is>
      </c>
    </row>
    <row r="192">
      <c r="A192" s="80" t="n">
        <v>46031</v>
      </c>
      <c r="D192" t="inlineStr">
        <is>
          <t>C</t>
        </is>
      </c>
      <c r="F192" t="inlineStr">
        <is>
          <t>KOMAX A1</t>
        </is>
      </c>
      <c r="M192" t="inlineStr">
        <is>
          <t>Open</t>
        </is>
      </c>
    </row>
    <row r="193">
      <c r="A193" s="80" t="n">
        <v>46182</v>
      </c>
      <c r="D193" t="inlineStr">
        <is>
          <t>B</t>
        </is>
      </c>
      <c r="F193" t="inlineStr">
        <is>
          <t>THOR-02</t>
        </is>
      </c>
      <c r="M193" t="inlineStr">
        <is>
          <t>Open</t>
        </is>
      </c>
    </row>
    <row r="194">
      <c r="A194" s="80" t="n">
        <v>46152</v>
      </c>
      <c r="D194" t="inlineStr">
        <is>
          <t>B</t>
        </is>
      </c>
      <c r="F194" t="inlineStr">
        <is>
          <t>CRIMP CENTER</t>
        </is>
      </c>
      <c r="M194" t="inlineStr">
        <is>
          <t>Open</t>
        </is>
      </c>
    </row>
    <row r="195">
      <c r="A195" s="80" t="n">
        <v>46162</v>
      </c>
      <c r="D195" t="inlineStr">
        <is>
          <t>C</t>
        </is>
      </c>
      <c r="F195" t="inlineStr">
        <is>
          <t>SCHLEUNIGER S30</t>
        </is>
      </c>
      <c r="M195" t="inlineStr">
        <is>
          <t>Open</t>
        </is>
      </c>
    </row>
    <row r="196">
      <c r="A196" s="80" t="n">
        <v>46104</v>
      </c>
      <c r="D196" t="inlineStr">
        <is>
          <t>A</t>
        </is>
      </c>
      <c r="F196" t="inlineStr">
        <is>
          <t>SCHLEUNIGER S30</t>
        </is>
      </c>
      <c r="M196" t="inlineStr">
        <is>
          <t>Open</t>
        </is>
      </c>
    </row>
    <row r="197">
      <c r="A197" s="80" t="n">
        <v>46069</v>
      </c>
      <c r="D197" t="inlineStr">
        <is>
          <t>B</t>
        </is>
      </c>
      <c r="F197" t="inlineStr">
        <is>
          <t>CRIMP CENTER</t>
        </is>
      </c>
      <c r="M197" t="inlineStr">
        <is>
          <t>Closed</t>
        </is>
      </c>
    </row>
    <row r="198">
      <c r="A198" s="80" t="n">
        <v>46049</v>
      </c>
      <c r="D198" t="inlineStr">
        <is>
          <t>C</t>
        </is>
      </c>
      <c r="F198" t="inlineStr">
        <is>
          <t>KOMAX A1</t>
        </is>
      </c>
      <c r="M198" t="inlineStr">
        <is>
          <t>Closed</t>
        </is>
      </c>
    </row>
    <row r="199">
      <c r="A199" s="80" t="n">
        <v>46045</v>
      </c>
      <c r="D199" t="inlineStr">
        <is>
          <t>B</t>
        </is>
      </c>
      <c r="F199" t="inlineStr">
        <is>
          <t>PRESS M5</t>
        </is>
      </c>
      <c r="M199" t="inlineStr">
        <is>
          <t>Closed</t>
        </is>
      </c>
    </row>
    <row r="200">
      <c r="A200" s="80" t="n">
        <v>46151</v>
      </c>
      <c r="D200" t="inlineStr">
        <is>
          <t>B</t>
        </is>
      </c>
      <c r="F200" t="inlineStr">
        <is>
          <t>THOR-02</t>
        </is>
      </c>
      <c r="M200" t="inlineStr">
        <is>
          <t>Closed</t>
        </is>
      </c>
    </row>
    <row r="201">
      <c r="A201" s="80" t="n">
        <v>46138</v>
      </c>
      <c r="D201" t="inlineStr">
        <is>
          <t>B</t>
        </is>
      </c>
      <c r="F201" t="inlineStr">
        <is>
          <t>CRIMP CENTER</t>
        </is>
      </c>
      <c r="M201" t="inlineStr">
        <is>
          <t>Open</t>
        </is>
      </c>
    </row>
    <row r="202">
      <c r="A202" s="80" t="n">
        <v>46189</v>
      </c>
      <c r="D202" t="inlineStr">
        <is>
          <t>C</t>
        </is>
      </c>
      <c r="F202" t="inlineStr">
        <is>
          <t>SCHLEUNIGER S30</t>
        </is>
      </c>
      <c r="M202" t="inlineStr">
        <is>
          <t>Open</t>
        </is>
      </c>
    </row>
    <row r="203">
      <c r="A203" s="80" t="n">
        <v>46106</v>
      </c>
      <c r="D203" t="inlineStr">
        <is>
          <t>B</t>
        </is>
      </c>
      <c r="F203" t="inlineStr">
        <is>
          <t>KOMAX A1</t>
        </is>
      </c>
      <c r="M203" t="inlineStr">
        <is>
          <t>Closed</t>
        </is>
      </c>
    </row>
    <row r="204">
      <c r="A204" s="80" t="n">
        <v>46200</v>
      </c>
      <c r="D204" t="inlineStr">
        <is>
          <t>C</t>
        </is>
      </c>
      <c r="F204" t="inlineStr">
        <is>
          <t>SCHLEUNIGER S30</t>
        </is>
      </c>
      <c r="M204" t="inlineStr">
        <is>
          <t>Open</t>
        </is>
      </c>
    </row>
    <row r="205">
      <c r="A205" s="80" t="n">
        <v>46136</v>
      </c>
      <c r="D205" t="inlineStr">
        <is>
          <t>C</t>
        </is>
      </c>
      <c r="F205" t="inlineStr">
        <is>
          <t>CRIMP CENTER</t>
        </is>
      </c>
      <c r="M205" t="inlineStr">
        <is>
          <t>Closed</t>
        </is>
      </c>
    </row>
    <row r="206">
      <c r="A206" s="80" t="n">
        <v>46107</v>
      </c>
      <c r="D206" t="inlineStr">
        <is>
          <t>B</t>
        </is>
      </c>
      <c r="F206" t="inlineStr">
        <is>
          <t>CRIMP CENTER</t>
        </is>
      </c>
      <c r="M206" t="inlineStr">
        <is>
          <t>Open</t>
        </is>
      </c>
    </row>
    <row r="207">
      <c r="A207" s="80" t="n">
        <v>46196</v>
      </c>
      <c r="D207" t="inlineStr">
        <is>
          <t>A</t>
        </is>
      </c>
      <c r="F207" t="inlineStr">
        <is>
          <t>CRIMP CENTER</t>
        </is>
      </c>
      <c r="M207" t="inlineStr">
        <is>
          <t>Closed</t>
        </is>
      </c>
    </row>
    <row r="208">
      <c r="A208" s="80" t="n">
        <v>46075</v>
      </c>
      <c r="D208" t="inlineStr">
        <is>
          <t>C</t>
        </is>
      </c>
      <c r="F208" t="inlineStr">
        <is>
          <t>SCHLEUNIGER S30</t>
        </is>
      </c>
      <c r="M208" t="inlineStr">
        <is>
          <t>Open</t>
        </is>
      </c>
    </row>
    <row r="209">
      <c r="A209" s="80" t="n">
        <v>46105</v>
      </c>
      <c r="D209" t="inlineStr">
        <is>
          <t>B</t>
        </is>
      </c>
      <c r="F209" t="inlineStr">
        <is>
          <t>KOMAX A1</t>
        </is>
      </c>
      <c r="M209" t="inlineStr">
        <is>
          <t>Open</t>
        </is>
      </c>
    </row>
    <row r="210">
      <c r="A210" s="80" t="n">
        <v>46033</v>
      </c>
      <c r="D210" t="inlineStr">
        <is>
          <t>B</t>
        </is>
      </c>
      <c r="F210" t="inlineStr">
        <is>
          <t>PRESS M5</t>
        </is>
      </c>
      <c r="M210" t="inlineStr">
        <is>
          <t>Closed</t>
        </is>
      </c>
    </row>
    <row r="211">
      <c r="A211" s="80" t="n">
        <v>46034</v>
      </c>
      <c r="D211" t="inlineStr">
        <is>
          <t>B</t>
        </is>
      </c>
      <c r="F211" t="inlineStr">
        <is>
          <t>PRESS M5</t>
        </is>
      </c>
      <c r="M211" t="inlineStr">
        <is>
          <t>Closed</t>
        </is>
      </c>
    </row>
    <row r="212">
      <c r="A212" s="80" t="n">
        <v>46083</v>
      </c>
      <c r="D212" t="inlineStr">
        <is>
          <t>C</t>
        </is>
      </c>
      <c r="F212" t="inlineStr">
        <is>
          <t>SCHLEUNIGER S30</t>
        </is>
      </c>
      <c r="M212" t="inlineStr">
        <is>
          <t>Closed</t>
        </is>
      </c>
    </row>
    <row r="213">
      <c r="A213" s="80" t="n">
        <v>46065</v>
      </c>
      <c r="D213" t="inlineStr">
        <is>
          <t>A</t>
        </is>
      </c>
      <c r="F213" t="inlineStr">
        <is>
          <t>SCHLEUNIGER S30</t>
        </is>
      </c>
      <c r="M213" t="inlineStr">
        <is>
          <t>Open</t>
        </is>
      </c>
    </row>
    <row r="214">
      <c r="A214" s="80" t="n">
        <v>46081</v>
      </c>
      <c r="D214" t="inlineStr">
        <is>
          <t>A</t>
        </is>
      </c>
      <c r="F214" t="inlineStr">
        <is>
          <t>SCHLEUNIGER S30</t>
        </is>
      </c>
      <c r="M214" t="inlineStr">
        <is>
          <t>Closed</t>
        </is>
      </c>
    </row>
    <row r="215">
      <c r="A215" s="80" t="n">
        <v>46030</v>
      </c>
      <c r="D215" t="inlineStr">
        <is>
          <t>B</t>
        </is>
      </c>
      <c r="F215" t="inlineStr">
        <is>
          <t>KOMAX A1</t>
        </is>
      </c>
      <c r="M215" t="inlineStr">
        <is>
          <t>Open</t>
        </is>
      </c>
    </row>
    <row r="216">
      <c r="A216" s="80" t="n">
        <v>46161</v>
      </c>
      <c r="D216" t="inlineStr">
        <is>
          <t>A</t>
        </is>
      </c>
      <c r="F216" t="inlineStr">
        <is>
          <t>PRESS M5</t>
        </is>
      </c>
      <c r="M216" t="inlineStr">
        <is>
          <t>Closed</t>
        </is>
      </c>
    </row>
    <row r="217">
      <c r="A217" s="80" t="n">
        <v>46201</v>
      </c>
      <c r="D217" t="inlineStr">
        <is>
          <t>C</t>
        </is>
      </c>
      <c r="F217" t="inlineStr">
        <is>
          <t>CRIMP CENTER</t>
        </is>
      </c>
      <c r="M217" t="inlineStr">
        <is>
          <t>Closed</t>
        </is>
      </c>
    </row>
    <row r="218">
      <c r="A218" s="80" t="n">
        <v>46094</v>
      </c>
      <c r="D218" t="inlineStr">
        <is>
          <t>B</t>
        </is>
      </c>
      <c r="F218" t="inlineStr">
        <is>
          <t>KOMAX A1</t>
        </is>
      </c>
      <c r="M218" t="inlineStr">
        <is>
          <t>Open</t>
        </is>
      </c>
    </row>
    <row r="219">
      <c r="A219" s="80" t="n">
        <v>46197</v>
      </c>
      <c r="D219" t="inlineStr">
        <is>
          <t>A</t>
        </is>
      </c>
      <c r="F219" t="inlineStr">
        <is>
          <t>SCHLEUNIGER S30</t>
        </is>
      </c>
      <c r="M219" t="inlineStr">
        <is>
          <t>Closed</t>
        </is>
      </c>
    </row>
    <row r="220">
      <c r="A220" s="80" t="n">
        <v>46143</v>
      </c>
      <c r="D220" t="inlineStr">
        <is>
          <t>B</t>
        </is>
      </c>
      <c r="F220" t="inlineStr">
        <is>
          <t>KOMAX A1</t>
        </is>
      </c>
      <c r="M220" t="inlineStr">
        <is>
          <t>Open</t>
        </is>
      </c>
    </row>
    <row r="221">
      <c r="A221" s="80" t="n">
        <v>46136</v>
      </c>
      <c r="D221" t="inlineStr">
        <is>
          <t>A</t>
        </is>
      </c>
      <c r="F221" t="inlineStr">
        <is>
          <t>KOMAX A1</t>
        </is>
      </c>
      <c r="M221" t="inlineStr">
        <is>
          <t>Closed</t>
        </is>
      </c>
    </row>
    <row r="222">
      <c r="A222" s="80" t="n">
        <v>46132</v>
      </c>
      <c r="D222" t="inlineStr">
        <is>
          <t>B</t>
        </is>
      </c>
      <c r="F222" t="inlineStr">
        <is>
          <t>THOR-02</t>
        </is>
      </c>
      <c r="M222" t="inlineStr">
        <is>
          <t>Closed</t>
        </is>
      </c>
    </row>
    <row r="223">
      <c r="A223" s="80" t="n">
        <v>46054</v>
      </c>
      <c r="D223" t="inlineStr">
        <is>
          <t>A</t>
        </is>
      </c>
      <c r="F223" t="inlineStr">
        <is>
          <t>SCHLEUNIGER S30</t>
        </is>
      </c>
      <c r="M223" t="inlineStr">
        <is>
          <t>Closed</t>
        </is>
      </c>
    </row>
    <row r="224">
      <c r="A224" s="80" t="n">
        <v>46047</v>
      </c>
      <c r="D224" t="inlineStr">
        <is>
          <t>C</t>
        </is>
      </c>
      <c r="F224" t="inlineStr">
        <is>
          <t>PRESS M5</t>
        </is>
      </c>
      <c r="M224" t="inlineStr">
        <is>
          <t>Open</t>
        </is>
      </c>
    </row>
    <row r="225">
      <c r="A225" s="80" t="n">
        <v>46170</v>
      </c>
      <c r="D225" t="inlineStr">
        <is>
          <t>C</t>
        </is>
      </c>
      <c r="F225" t="inlineStr">
        <is>
          <t>PRESS M5</t>
        </is>
      </c>
      <c r="M225" t="inlineStr">
        <is>
          <t>Open</t>
        </is>
      </c>
    </row>
    <row r="226">
      <c r="A226" s="80" t="n">
        <v>46112</v>
      </c>
      <c r="D226" t="inlineStr">
        <is>
          <t>A</t>
        </is>
      </c>
      <c r="F226" t="inlineStr">
        <is>
          <t>THOR-02</t>
        </is>
      </c>
      <c r="M226" t="inlineStr">
        <is>
          <t>Open</t>
        </is>
      </c>
    </row>
    <row r="227">
      <c r="A227" s="80" t="n">
        <v>46113</v>
      </c>
      <c r="D227" t="inlineStr">
        <is>
          <t>B</t>
        </is>
      </c>
      <c r="F227" t="inlineStr">
        <is>
          <t>THOR-02</t>
        </is>
      </c>
      <c r="M227" t="inlineStr">
        <is>
          <t>Open</t>
        </is>
      </c>
    </row>
    <row r="228">
      <c r="A228" s="80" t="n">
        <v>46078</v>
      </c>
      <c r="D228" t="inlineStr">
        <is>
          <t>C</t>
        </is>
      </c>
      <c r="F228" t="inlineStr">
        <is>
          <t>CRIMP CENTER</t>
        </is>
      </c>
      <c r="M228" t="inlineStr">
        <is>
          <t>Open</t>
        </is>
      </c>
    </row>
    <row r="229">
      <c r="A229" s="80" t="n">
        <v>46050</v>
      </c>
      <c r="D229" t="inlineStr">
        <is>
          <t>A</t>
        </is>
      </c>
      <c r="F229" t="inlineStr">
        <is>
          <t>THOR-02</t>
        </is>
      </c>
      <c r="M229" t="inlineStr">
        <is>
          <t>Closed</t>
        </is>
      </c>
    </row>
    <row r="230">
      <c r="A230" s="80" t="n">
        <v>46064</v>
      </c>
      <c r="D230" t="inlineStr">
        <is>
          <t>C</t>
        </is>
      </c>
      <c r="F230" t="inlineStr">
        <is>
          <t>THOR-02</t>
        </is>
      </c>
      <c r="M230" t="inlineStr">
        <is>
          <t>Open</t>
        </is>
      </c>
    </row>
    <row r="231">
      <c r="A231" s="80" t="n">
        <v>46122</v>
      </c>
      <c r="D231" t="inlineStr">
        <is>
          <t>A</t>
        </is>
      </c>
      <c r="F231" t="inlineStr">
        <is>
          <t>PRESS M5</t>
        </is>
      </c>
      <c r="M231" t="inlineStr">
        <is>
          <t>Open</t>
        </is>
      </c>
    </row>
    <row r="232">
      <c r="A232" s="80" t="n">
        <v>46051</v>
      </c>
      <c r="D232" t="inlineStr">
        <is>
          <t>B</t>
        </is>
      </c>
      <c r="F232" t="inlineStr">
        <is>
          <t>KOMAX A1</t>
        </is>
      </c>
      <c r="M232" t="inlineStr">
        <is>
          <t>Open</t>
        </is>
      </c>
    </row>
    <row r="233">
      <c r="A233" s="80" t="n">
        <v>46105</v>
      </c>
      <c r="D233" t="inlineStr">
        <is>
          <t>C</t>
        </is>
      </c>
      <c r="F233" t="inlineStr">
        <is>
          <t>CRIMP CENTER</t>
        </is>
      </c>
      <c r="M233" t="inlineStr">
        <is>
          <t>Closed</t>
        </is>
      </c>
    </row>
    <row r="234">
      <c r="A234" s="80" t="n">
        <v>46082</v>
      </c>
      <c r="D234" t="inlineStr">
        <is>
          <t>B</t>
        </is>
      </c>
      <c r="F234" t="inlineStr">
        <is>
          <t>PRESS M5</t>
        </is>
      </c>
      <c r="M234" t="inlineStr">
        <is>
          <t>Closed</t>
        </is>
      </c>
    </row>
    <row r="235">
      <c r="A235" s="80" t="n">
        <v>46123</v>
      </c>
      <c r="D235" t="inlineStr">
        <is>
          <t>B</t>
        </is>
      </c>
      <c r="F235" t="inlineStr">
        <is>
          <t>CRIMP CENTER</t>
        </is>
      </c>
      <c r="M235" t="inlineStr">
        <is>
          <t>Closed</t>
        </is>
      </c>
    </row>
    <row r="236">
      <c r="A236" s="80" t="n">
        <v>46092</v>
      </c>
      <c r="D236" t="inlineStr">
        <is>
          <t>A</t>
        </is>
      </c>
      <c r="F236" t="inlineStr">
        <is>
          <t>PRESS M5</t>
        </is>
      </c>
      <c r="M236" t="inlineStr">
        <is>
          <t>Open</t>
        </is>
      </c>
    </row>
    <row r="237">
      <c r="A237" s="80" t="n">
        <v>46038</v>
      </c>
      <c r="D237" t="inlineStr">
        <is>
          <t>A</t>
        </is>
      </c>
      <c r="F237" t="inlineStr">
        <is>
          <t>PRESS M5</t>
        </is>
      </c>
      <c r="M237" t="inlineStr">
        <is>
          <t>Closed</t>
        </is>
      </c>
    </row>
    <row r="238">
      <c r="A238" s="80" t="n">
        <v>46029</v>
      </c>
      <c r="D238" t="inlineStr">
        <is>
          <t>C</t>
        </is>
      </c>
      <c r="F238" t="inlineStr">
        <is>
          <t>KOMAX A1</t>
        </is>
      </c>
      <c r="M238" t="inlineStr">
        <is>
          <t>Open</t>
        </is>
      </c>
    </row>
    <row r="239">
      <c r="A239" s="80" t="n">
        <v>46070</v>
      </c>
      <c r="D239" t="inlineStr">
        <is>
          <t>A</t>
        </is>
      </c>
      <c r="F239" t="inlineStr">
        <is>
          <t>KOMAX A1</t>
        </is>
      </c>
      <c r="M239" t="inlineStr">
        <is>
          <t>Closed</t>
        </is>
      </c>
    </row>
    <row r="240">
      <c r="A240" s="80" t="n">
        <v>46023</v>
      </c>
      <c r="D240" t="inlineStr">
        <is>
          <t>A</t>
        </is>
      </c>
      <c r="F240" t="inlineStr">
        <is>
          <t>KOMAX A1</t>
        </is>
      </c>
      <c r="M240" t="inlineStr">
        <is>
          <t>Open</t>
        </is>
      </c>
    </row>
    <row r="241">
      <c r="A241" s="80" t="n">
        <v>46052</v>
      </c>
      <c r="D241" t="inlineStr">
        <is>
          <t>B</t>
        </is>
      </c>
      <c r="F241" t="inlineStr">
        <is>
          <t>KOMAX A1</t>
        </is>
      </c>
      <c r="M241" t="inlineStr">
        <is>
          <t>Closed</t>
        </is>
      </c>
    </row>
    <row r="242">
      <c r="A242" s="80" t="n">
        <v>46029</v>
      </c>
      <c r="D242" t="inlineStr">
        <is>
          <t>B</t>
        </is>
      </c>
      <c r="F242" t="inlineStr">
        <is>
          <t>SCHLEUNIGER S30</t>
        </is>
      </c>
      <c r="M242" t="inlineStr">
        <is>
          <t>Open</t>
        </is>
      </c>
    </row>
    <row r="243">
      <c r="A243" s="80" t="n">
        <v>46115</v>
      </c>
      <c r="D243" t="inlineStr">
        <is>
          <t>A</t>
        </is>
      </c>
      <c r="F243" t="inlineStr">
        <is>
          <t>KOMAX A1</t>
        </is>
      </c>
      <c r="M243" t="inlineStr">
        <is>
          <t>Closed</t>
        </is>
      </c>
    </row>
    <row r="244">
      <c r="A244" s="80" t="n">
        <v>46112</v>
      </c>
      <c r="D244" t="inlineStr">
        <is>
          <t>A</t>
        </is>
      </c>
      <c r="F244" t="inlineStr">
        <is>
          <t>CRIMP CENTER</t>
        </is>
      </c>
      <c r="M244" t="inlineStr">
        <is>
          <t>Closed</t>
        </is>
      </c>
    </row>
    <row r="245">
      <c r="A245" s="80" t="n">
        <v>46122</v>
      </c>
      <c r="D245" t="inlineStr">
        <is>
          <t>B</t>
        </is>
      </c>
      <c r="F245" t="inlineStr">
        <is>
          <t>PRESS M5</t>
        </is>
      </c>
      <c r="M245" t="inlineStr">
        <is>
          <t>Open</t>
        </is>
      </c>
    </row>
    <row r="246">
      <c r="A246" s="80" t="n">
        <v>46189</v>
      </c>
      <c r="D246" t="inlineStr">
        <is>
          <t>A</t>
        </is>
      </c>
      <c r="F246" t="inlineStr">
        <is>
          <t>THOR-02</t>
        </is>
      </c>
      <c r="M246" t="inlineStr">
        <is>
          <t>Open</t>
        </is>
      </c>
    </row>
    <row r="247">
      <c r="A247" s="80" t="n">
        <v>46110</v>
      </c>
      <c r="D247" t="inlineStr">
        <is>
          <t>C</t>
        </is>
      </c>
      <c r="F247" t="inlineStr">
        <is>
          <t>THOR-02</t>
        </is>
      </c>
      <c r="M247" t="inlineStr">
        <is>
          <t>Open</t>
        </is>
      </c>
    </row>
    <row r="248">
      <c r="A248" s="80" t="n">
        <v>46116</v>
      </c>
      <c r="D248" t="inlineStr">
        <is>
          <t>B</t>
        </is>
      </c>
      <c r="F248" t="inlineStr">
        <is>
          <t>PRESS M5</t>
        </is>
      </c>
      <c r="M248" t="inlineStr">
        <is>
          <t>Open</t>
        </is>
      </c>
    </row>
    <row r="249">
      <c r="A249" s="80" t="n">
        <v>46113</v>
      </c>
      <c r="D249" t="inlineStr">
        <is>
          <t>B</t>
        </is>
      </c>
      <c r="F249" t="inlineStr">
        <is>
          <t>SCHLEUNIGER S30</t>
        </is>
      </c>
      <c r="M249" t="inlineStr">
        <is>
          <t>Open</t>
        </is>
      </c>
    </row>
    <row r="250">
      <c r="A250" s="80" t="n">
        <v>46036</v>
      </c>
      <c r="D250" t="inlineStr">
        <is>
          <t>A</t>
        </is>
      </c>
      <c r="F250" t="inlineStr">
        <is>
          <t>CRIMP CENTER</t>
        </is>
      </c>
      <c r="M250" t="inlineStr">
        <is>
          <t>Closed</t>
        </is>
      </c>
    </row>
    <row r="251">
      <c r="A251" s="80" t="n">
        <v>46118</v>
      </c>
      <c r="D251" t="inlineStr">
        <is>
          <t>C</t>
        </is>
      </c>
      <c r="F251" t="inlineStr">
        <is>
          <t>CRIMP CENTER</t>
        </is>
      </c>
      <c r="M251" t="inlineStr">
        <is>
          <t>Open</t>
        </is>
      </c>
    </row>
    <row r="252">
      <c r="A252" s="80" t="n">
        <v>46131</v>
      </c>
      <c r="D252" t="inlineStr">
        <is>
          <t>C</t>
        </is>
      </c>
      <c r="F252" t="inlineStr">
        <is>
          <t>SCHLEUNIGER S30</t>
        </is>
      </c>
      <c r="M252" t="inlineStr">
        <is>
          <t>Open</t>
        </is>
      </c>
    </row>
    <row r="253">
      <c r="A253" s="80" t="n">
        <v>46047</v>
      </c>
      <c r="D253" t="inlineStr">
        <is>
          <t>A</t>
        </is>
      </c>
      <c r="F253" t="inlineStr">
        <is>
          <t>THOR-02</t>
        </is>
      </c>
      <c r="M253" t="inlineStr">
        <is>
          <t>Closed</t>
        </is>
      </c>
    </row>
    <row r="254">
      <c r="A254" s="80" t="n">
        <v>46057</v>
      </c>
      <c r="D254" t="inlineStr">
        <is>
          <t>B</t>
        </is>
      </c>
      <c r="F254" t="inlineStr">
        <is>
          <t>KOMAX A1</t>
        </is>
      </c>
      <c r="M254" t="inlineStr">
        <is>
          <t>Closed</t>
        </is>
      </c>
    </row>
    <row r="255">
      <c r="A255" s="80" t="n">
        <v>46178</v>
      </c>
      <c r="D255" t="inlineStr">
        <is>
          <t>C</t>
        </is>
      </c>
      <c r="F255" t="inlineStr">
        <is>
          <t>SCHLEUNIGER S30</t>
        </is>
      </c>
      <c r="M255" t="inlineStr">
        <is>
          <t>Closed</t>
        </is>
      </c>
    </row>
    <row r="256">
      <c r="A256" s="80" t="n">
        <v>46075</v>
      </c>
      <c r="D256" t="inlineStr">
        <is>
          <t>B</t>
        </is>
      </c>
      <c r="F256" t="inlineStr">
        <is>
          <t>THOR-02</t>
        </is>
      </c>
      <c r="M256" t="inlineStr">
        <is>
          <t>Open</t>
        </is>
      </c>
    </row>
    <row r="257">
      <c r="A257" s="80" t="n">
        <v>46182</v>
      </c>
      <c r="D257" t="inlineStr">
        <is>
          <t>C</t>
        </is>
      </c>
      <c r="F257" t="inlineStr">
        <is>
          <t>CRIMP CENTER</t>
        </is>
      </c>
      <c r="M257" t="inlineStr">
        <is>
          <t>Open</t>
        </is>
      </c>
    </row>
    <row r="258">
      <c r="A258" s="80" t="n">
        <v>46180</v>
      </c>
      <c r="D258" t="inlineStr">
        <is>
          <t>B</t>
        </is>
      </c>
      <c r="F258" t="inlineStr">
        <is>
          <t>THOR-02</t>
        </is>
      </c>
      <c r="M258" t="inlineStr">
        <is>
          <t>Open</t>
        </is>
      </c>
    </row>
    <row r="259">
      <c r="A259" s="80" t="n">
        <v>46188</v>
      </c>
      <c r="D259" t="inlineStr">
        <is>
          <t>C</t>
        </is>
      </c>
      <c r="F259" t="inlineStr">
        <is>
          <t>KOMAX A1</t>
        </is>
      </c>
      <c r="M259" t="inlineStr">
        <is>
          <t>Open</t>
        </is>
      </c>
    </row>
    <row r="260">
      <c r="A260" s="80" t="n">
        <v>46104</v>
      </c>
      <c r="D260" t="inlineStr">
        <is>
          <t>B</t>
        </is>
      </c>
      <c r="F260" t="inlineStr">
        <is>
          <t>SCHLEUNIGER S30</t>
        </is>
      </c>
      <c r="M260" t="inlineStr">
        <is>
          <t>Open</t>
        </is>
      </c>
    </row>
    <row r="261">
      <c r="A261" s="80" t="n">
        <v>46135</v>
      </c>
      <c r="D261" t="inlineStr">
        <is>
          <t>A</t>
        </is>
      </c>
      <c r="F261" t="inlineStr">
        <is>
          <t>KOMAX A1</t>
        </is>
      </c>
      <c r="M261" t="inlineStr">
        <is>
          <t>Closed</t>
        </is>
      </c>
    </row>
    <row r="262">
      <c r="A262" s="80" t="n">
        <v>46076</v>
      </c>
      <c r="D262" t="inlineStr">
        <is>
          <t>C</t>
        </is>
      </c>
      <c r="F262" t="inlineStr">
        <is>
          <t>SCHLEUNIGER S30</t>
        </is>
      </c>
      <c r="M262" t="inlineStr">
        <is>
          <t>Closed</t>
        </is>
      </c>
    </row>
    <row r="263">
      <c r="A263" s="80" t="n">
        <v>46178</v>
      </c>
      <c r="D263" t="inlineStr">
        <is>
          <t>C</t>
        </is>
      </c>
      <c r="F263" t="inlineStr">
        <is>
          <t>THOR-02</t>
        </is>
      </c>
      <c r="M263" t="inlineStr">
        <is>
          <t>Open</t>
        </is>
      </c>
    </row>
    <row r="264">
      <c r="A264" s="80" t="n">
        <v>46073</v>
      </c>
      <c r="D264" t="inlineStr">
        <is>
          <t>B</t>
        </is>
      </c>
      <c r="F264" t="inlineStr">
        <is>
          <t>CRIMP CENTER</t>
        </is>
      </c>
      <c r="M264" t="inlineStr">
        <is>
          <t>Closed</t>
        </is>
      </c>
    </row>
    <row r="265">
      <c r="A265" s="80" t="n">
        <v>46096</v>
      </c>
      <c r="D265" t="inlineStr">
        <is>
          <t>C</t>
        </is>
      </c>
      <c r="F265" t="inlineStr">
        <is>
          <t>SCHLEUNIGER S30</t>
        </is>
      </c>
      <c r="M265" t="inlineStr">
        <is>
          <t>Open</t>
        </is>
      </c>
    </row>
    <row r="266">
      <c r="A266" s="80" t="n">
        <v>46147</v>
      </c>
      <c r="D266" t="inlineStr">
        <is>
          <t>B</t>
        </is>
      </c>
      <c r="F266" t="inlineStr">
        <is>
          <t>PRESS M5</t>
        </is>
      </c>
      <c r="M266" t="inlineStr">
        <is>
          <t>Closed</t>
        </is>
      </c>
    </row>
    <row r="267">
      <c r="A267" s="80" t="n">
        <v>46060</v>
      </c>
      <c r="D267" t="inlineStr">
        <is>
          <t>A</t>
        </is>
      </c>
      <c r="F267" t="inlineStr">
        <is>
          <t>THOR-02</t>
        </is>
      </c>
      <c r="M267" t="inlineStr">
        <is>
          <t>Closed</t>
        </is>
      </c>
    </row>
    <row r="268">
      <c r="A268" s="80" t="n">
        <v>46048</v>
      </c>
      <c r="D268" t="inlineStr">
        <is>
          <t>C</t>
        </is>
      </c>
      <c r="F268" t="inlineStr">
        <is>
          <t>CRIMP CENTER</t>
        </is>
      </c>
      <c r="M268" t="inlineStr">
        <is>
          <t>Open</t>
        </is>
      </c>
    </row>
    <row r="269">
      <c r="A269" s="80" t="n">
        <v>46051</v>
      </c>
      <c r="D269" t="inlineStr">
        <is>
          <t>A</t>
        </is>
      </c>
      <c r="F269" t="inlineStr">
        <is>
          <t>SCHLEUNIGER S30</t>
        </is>
      </c>
      <c r="M269" t="inlineStr">
        <is>
          <t>Closed</t>
        </is>
      </c>
    </row>
    <row r="270">
      <c r="A270" s="80" t="n">
        <v>46047</v>
      </c>
      <c r="D270" t="inlineStr">
        <is>
          <t>A</t>
        </is>
      </c>
      <c r="F270" t="inlineStr">
        <is>
          <t>THOR-02</t>
        </is>
      </c>
      <c r="M270" t="inlineStr">
        <is>
          <t>Open</t>
        </is>
      </c>
    </row>
    <row r="271">
      <c r="A271" s="80" t="n">
        <v>46186</v>
      </c>
      <c r="D271" t="inlineStr">
        <is>
          <t>A</t>
        </is>
      </c>
      <c r="F271" t="inlineStr">
        <is>
          <t>CRIMP CENTER</t>
        </is>
      </c>
      <c r="M271" t="inlineStr">
        <is>
          <t>Open</t>
        </is>
      </c>
    </row>
    <row r="272">
      <c r="A272" s="80" t="n">
        <v>46158</v>
      </c>
      <c r="D272" t="inlineStr">
        <is>
          <t>C</t>
        </is>
      </c>
      <c r="F272" t="inlineStr">
        <is>
          <t>SCHLEUNIGER S30</t>
        </is>
      </c>
      <c r="M272" t="inlineStr">
        <is>
          <t>Closed</t>
        </is>
      </c>
    </row>
    <row r="273">
      <c r="A273" s="80" t="n">
        <v>46127</v>
      </c>
      <c r="D273" t="inlineStr">
        <is>
          <t>C</t>
        </is>
      </c>
      <c r="F273" t="inlineStr">
        <is>
          <t>SCHLEUNIGER S30</t>
        </is>
      </c>
      <c r="M273" t="inlineStr">
        <is>
          <t>Closed</t>
        </is>
      </c>
    </row>
    <row r="274">
      <c r="A274" s="80" t="n">
        <v>46121</v>
      </c>
      <c r="D274" t="inlineStr">
        <is>
          <t>B</t>
        </is>
      </c>
      <c r="F274" t="inlineStr">
        <is>
          <t>CRIMP CENTER</t>
        </is>
      </c>
      <c r="M274" t="inlineStr">
        <is>
          <t>Closed</t>
        </is>
      </c>
    </row>
    <row r="275">
      <c r="A275" s="80" t="n">
        <v>46171</v>
      </c>
      <c r="D275" t="inlineStr">
        <is>
          <t>A</t>
        </is>
      </c>
      <c r="F275" t="inlineStr">
        <is>
          <t>CRIMP CENTER</t>
        </is>
      </c>
      <c r="M275" t="inlineStr">
        <is>
          <t>Closed</t>
        </is>
      </c>
    </row>
    <row r="276">
      <c r="A276" s="80" t="n">
        <v>46131</v>
      </c>
      <c r="D276" t="inlineStr">
        <is>
          <t>C</t>
        </is>
      </c>
      <c r="F276" t="inlineStr">
        <is>
          <t>THOR-02</t>
        </is>
      </c>
      <c r="M276" t="inlineStr">
        <is>
          <t>Open</t>
        </is>
      </c>
    </row>
    <row r="277">
      <c r="A277" s="80" t="n">
        <v>46031</v>
      </c>
      <c r="D277" t="inlineStr">
        <is>
          <t>C</t>
        </is>
      </c>
      <c r="F277" t="inlineStr">
        <is>
          <t>KOMAX A1</t>
        </is>
      </c>
      <c r="M277" t="inlineStr">
        <is>
          <t>Open</t>
        </is>
      </c>
    </row>
    <row r="278">
      <c r="A278" s="80" t="n">
        <v>46120</v>
      </c>
      <c r="D278" t="inlineStr">
        <is>
          <t>C</t>
        </is>
      </c>
      <c r="F278" t="inlineStr">
        <is>
          <t>CRIMP CENTER</t>
        </is>
      </c>
      <c r="M278" t="inlineStr">
        <is>
          <t>Closed</t>
        </is>
      </c>
    </row>
    <row r="279">
      <c r="A279" s="80" t="n">
        <v>46181</v>
      </c>
      <c r="D279" t="inlineStr">
        <is>
          <t>C</t>
        </is>
      </c>
      <c r="F279" t="inlineStr">
        <is>
          <t>THOR-02</t>
        </is>
      </c>
      <c r="M279" t="inlineStr">
        <is>
          <t>Closed</t>
        </is>
      </c>
    </row>
    <row r="280">
      <c r="A280" s="80" t="n">
        <v>46196</v>
      </c>
      <c r="D280" t="inlineStr">
        <is>
          <t>A</t>
        </is>
      </c>
      <c r="F280" t="inlineStr">
        <is>
          <t>THOR-02</t>
        </is>
      </c>
      <c r="M280" t="inlineStr">
        <is>
          <t>Open</t>
        </is>
      </c>
    </row>
    <row r="281">
      <c r="A281" s="80" t="n">
        <v>46163</v>
      </c>
      <c r="D281" t="inlineStr">
        <is>
          <t>C</t>
        </is>
      </c>
      <c r="F281" t="inlineStr">
        <is>
          <t>SCHLEUNIGER S30</t>
        </is>
      </c>
      <c r="M281" t="inlineStr">
        <is>
          <t>Closed</t>
        </is>
      </c>
    </row>
    <row r="282">
      <c r="A282" s="80" t="n">
        <v>46163</v>
      </c>
      <c r="D282" t="inlineStr">
        <is>
          <t>C</t>
        </is>
      </c>
      <c r="F282" t="inlineStr">
        <is>
          <t>CRIMP CENTER</t>
        </is>
      </c>
      <c r="M282" t="inlineStr">
        <is>
          <t>Closed</t>
        </is>
      </c>
    </row>
    <row r="283">
      <c r="A283" s="80" t="n">
        <v>46196</v>
      </c>
      <c r="D283" t="inlineStr">
        <is>
          <t>C</t>
        </is>
      </c>
      <c r="F283" t="inlineStr">
        <is>
          <t>KOMAX A1</t>
        </is>
      </c>
      <c r="M283" t="inlineStr">
        <is>
          <t>Open</t>
        </is>
      </c>
    </row>
    <row r="284">
      <c r="A284" s="80" t="n">
        <v>46154</v>
      </c>
      <c r="D284" t="inlineStr">
        <is>
          <t>C</t>
        </is>
      </c>
      <c r="F284" t="inlineStr">
        <is>
          <t>PRESS M5</t>
        </is>
      </c>
      <c r="M284" t="inlineStr">
        <is>
          <t>Closed</t>
        </is>
      </c>
    </row>
    <row r="285">
      <c r="A285" s="80" t="n">
        <v>46193</v>
      </c>
      <c r="D285" t="inlineStr">
        <is>
          <t>B</t>
        </is>
      </c>
      <c r="F285" t="inlineStr">
        <is>
          <t>KOMAX A1</t>
        </is>
      </c>
      <c r="M285" t="inlineStr">
        <is>
          <t>Closed</t>
        </is>
      </c>
    </row>
    <row r="286">
      <c r="A286" s="80" t="n">
        <v>46052</v>
      </c>
      <c r="D286" t="inlineStr">
        <is>
          <t>C</t>
        </is>
      </c>
      <c r="F286" t="inlineStr">
        <is>
          <t>THOR-02</t>
        </is>
      </c>
      <c r="M286" t="inlineStr">
        <is>
          <t>Open</t>
        </is>
      </c>
    </row>
    <row r="287">
      <c r="A287" s="80" t="n">
        <v>46073</v>
      </c>
      <c r="D287" t="inlineStr">
        <is>
          <t>B</t>
        </is>
      </c>
      <c r="F287" t="inlineStr">
        <is>
          <t>THOR-02</t>
        </is>
      </c>
      <c r="M287" t="inlineStr">
        <is>
          <t>Open</t>
        </is>
      </c>
    </row>
    <row r="288">
      <c r="A288" s="80" t="n">
        <v>46158</v>
      </c>
      <c r="D288" t="inlineStr">
        <is>
          <t>B</t>
        </is>
      </c>
      <c r="F288" t="inlineStr">
        <is>
          <t>THOR-02</t>
        </is>
      </c>
      <c r="M288" t="inlineStr">
        <is>
          <t>Open</t>
        </is>
      </c>
    </row>
    <row r="289">
      <c r="A289" s="80" t="n">
        <v>46131</v>
      </c>
      <c r="D289" t="inlineStr">
        <is>
          <t>C</t>
        </is>
      </c>
      <c r="F289" t="inlineStr">
        <is>
          <t>KOMAX A1</t>
        </is>
      </c>
      <c r="M289" t="inlineStr">
        <is>
          <t>Open</t>
        </is>
      </c>
    </row>
    <row r="290">
      <c r="A290" s="80" t="n">
        <v>46117</v>
      </c>
      <c r="D290" t="inlineStr">
        <is>
          <t>A</t>
        </is>
      </c>
      <c r="F290" t="inlineStr">
        <is>
          <t>THOR-02</t>
        </is>
      </c>
      <c r="M290" t="inlineStr">
        <is>
          <t>Closed</t>
        </is>
      </c>
    </row>
    <row r="291">
      <c r="A291" s="80" t="n">
        <v>46145</v>
      </c>
      <c r="D291" t="inlineStr">
        <is>
          <t>C</t>
        </is>
      </c>
      <c r="F291" t="inlineStr">
        <is>
          <t>CRIMP CENTER</t>
        </is>
      </c>
      <c r="M291" t="inlineStr">
        <is>
          <t>Open</t>
        </is>
      </c>
    </row>
    <row r="292">
      <c r="A292" s="80" t="n">
        <v>46162</v>
      </c>
      <c r="D292" t="inlineStr">
        <is>
          <t>C</t>
        </is>
      </c>
      <c r="F292" t="inlineStr">
        <is>
          <t>THOR-02</t>
        </is>
      </c>
      <c r="M292" t="inlineStr">
        <is>
          <t>Closed</t>
        </is>
      </c>
    </row>
    <row r="293">
      <c r="A293" s="80" t="n">
        <v>46138</v>
      </c>
      <c r="D293" t="inlineStr">
        <is>
          <t>C</t>
        </is>
      </c>
      <c r="F293" t="inlineStr">
        <is>
          <t>CRIMP CENTER</t>
        </is>
      </c>
      <c r="M293" t="inlineStr">
        <is>
          <t>Open</t>
        </is>
      </c>
    </row>
    <row r="294">
      <c r="A294" s="80" t="n">
        <v>46074</v>
      </c>
      <c r="D294" t="inlineStr">
        <is>
          <t>A</t>
        </is>
      </c>
      <c r="F294" t="inlineStr">
        <is>
          <t>CRIMP CENTER</t>
        </is>
      </c>
      <c r="M294" t="inlineStr">
        <is>
          <t>Open</t>
        </is>
      </c>
    </row>
    <row r="295">
      <c r="A295" s="80" t="n">
        <v>46050</v>
      </c>
      <c r="D295" t="inlineStr">
        <is>
          <t>A</t>
        </is>
      </c>
      <c r="F295" t="inlineStr">
        <is>
          <t>CRIMP CENTER</t>
        </is>
      </c>
      <c r="M295" t="inlineStr">
        <is>
          <t>Open</t>
        </is>
      </c>
    </row>
    <row r="296">
      <c r="A296" s="80" t="n">
        <v>46123</v>
      </c>
      <c r="D296" t="inlineStr">
        <is>
          <t>C</t>
        </is>
      </c>
      <c r="F296" t="inlineStr">
        <is>
          <t>THOR-02</t>
        </is>
      </c>
      <c r="M296" t="inlineStr">
        <is>
          <t>Closed</t>
        </is>
      </c>
    </row>
    <row r="297">
      <c r="A297" s="80" t="n">
        <v>46151</v>
      </c>
      <c r="D297" t="inlineStr">
        <is>
          <t>B</t>
        </is>
      </c>
      <c r="F297" t="inlineStr">
        <is>
          <t>CRIMP CENTER</t>
        </is>
      </c>
      <c r="M297" t="inlineStr">
        <is>
          <t>Open</t>
        </is>
      </c>
    </row>
    <row r="298">
      <c r="A298" s="80" t="n">
        <v>46047</v>
      </c>
      <c r="D298" t="inlineStr">
        <is>
          <t>B</t>
        </is>
      </c>
      <c r="F298" t="inlineStr">
        <is>
          <t>SCHLEUNIGER S30</t>
        </is>
      </c>
      <c r="M298" t="inlineStr">
        <is>
          <t>Open</t>
        </is>
      </c>
    </row>
    <row r="299">
      <c r="A299" s="80" t="n">
        <v>46062</v>
      </c>
      <c r="D299" t="inlineStr">
        <is>
          <t>C</t>
        </is>
      </c>
      <c r="F299" t="inlineStr">
        <is>
          <t>CRIMP CENTER</t>
        </is>
      </c>
      <c r="M299" t="inlineStr">
        <is>
          <t>Open</t>
        </is>
      </c>
    </row>
    <row r="300">
      <c r="A300" s="80" t="n">
        <v>46119</v>
      </c>
      <c r="D300" t="inlineStr">
        <is>
          <t>B</t>
        </is>
      </c>
      <c r="F300" t="inlineStr">
        <is>
          <t>CRIMP CENTER</t>
        </is>
      </c>
      <c r="M300" t="inlineStr">
        <is>
          <t>Closed</t>
        </is>
      </c>
    </row>
    <row r="301">
      <c r="A301" s="80" t="n">
        <v>46130</v>
      </c>
      <c r="D301" t="inlineStr">
        <is>
          <t>B</t>
        </is>
      </c>
      <c r="F301" t="inlineStr">
        <is>
          <t>SCHLEUNIGER S30</t>
        </is>
      </c>
      <c r="M301" t="inlineStr">
        <is>
          <t>Closed</t>
        </is>
      </c>
    </row>
    <row r="302">
      <c r="A302" s="80" t="n">
        <v>46093</v>
      </c>
      <c r="D302" t="inlineStr">
        <is>
          <t>B</t>
        </is>
      </c>
      <c r="F302" t="inlineStr">
        <is>
          <t>KOMAX A1</t>
        </is>
      </c>
      <c r="M302" t="inlineStr">
        <is>
          <t>Closed</t>
        </is>
      </c>
    </row>
    <row r="303">
      <c r="A303" s="80" t="n">
        <v>46143</v>
      </c>
      <c r="D303" t="inlineStr">
        <is>
          <t>A</t>
        </is>
      </c>
      <c r="F303" t="inlineStr">
        <is>
          <t>SCHLEUNIGER S30</t>
        </is>
      </c>
      <c r="M303" t="inlineStr">
        <is>
          <t>Closed</t>
        </is>
      </c>
    </row>
    <row r="304">
      <c r="A304" s="80" t="n">
        <v>46173</v>
      </c>
      <c r="D304" t="inlineStr">
        <is>
          <t>C</t>
        </is>
      </c>
      <c r="F304" t="inlineStr">
        <is>
          <t>THOR-02</t>
        </is>
      </c>
      <c r="M304" t="inlineStr">
        <is>
          <t>Closed</t>
        </is>
      </c>
    </row>
    <row r="305">
      <c r="A305" s="80" t="n">
        <v>46154</v>
      </c>
      <c r="D305" t="inlineStr">
        <is>
          <t>B</t>
        </is>
      </c>
      <c r="F305" t="inlineStr">
        <is>
          <t>THOR-02</t>
        </is>
      </c>
      <c r="M305" t="inlineStr">
        <is>
          <t>Open</t>
        </is>
      </c>
    </row>
  </sheetData>
  <mergeCells count="4">
    <mergeCell ref="D2:L2"/>
    <mergeCell ref="A1:C2"/>
    <mergeCell ref="D1:L1"/>
    <mergeCell ref="A4:N4"/>
  </mergeCells>
  <conditionalFormatting sqref="M5:M232">
    <cfRule type="cellIs" priority="7" operator="equal" dxfId="1">
      <formula>"En Cours"</formula>
    </cfRule>
    <cfRule type="cellIs" priority="8" operator="equal" dxfId="1">
      <formula>"Encours"</formula>
    </cfRule>
    <cfRule type="cellIs" priority="9" operator="equal" dxfId="0">
      <formula>"Terminer"</formula>
    </cfRule>
  </conditionalFormatting>
  <pageMargins left="0.7" right="0.7" top="0.75" bottom="0.75" header="0.3" footer="0.3"/>
  <pageSetup orientation="portrait" scale="5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showGridLines="0" zoomScale="70" zoomScaleNormal="70" workbookViewId="0">
      <selection activeCell="A20" sqref="A14:A55"/>
    </sheetView>
  </sheetViews>
  <sheetFormatPr baseColWidth="8" defaultRowHeight="14.5"/>
  <cols>
    <col width="30.54296875" bestFit="1" customWidth="1" min="1" max="1"/>
    <col width="32.26953125" bestFit="1" customWidth="1" min="2" max="2"/>
    <col width="16.453125" bestFit="1" customWidth="1" min="3" max="3"/>
    <col width="19.7265625" bestFit="1" customWidth="1" min="4" max="4"/>
    <col width="14.26953125" bestFit="1" customWidth="1" min="5" max="5"/>
    <col width="19.7265625" bestFit="1" customWidth="1" min="6" max="6"/>
    <col width="21.453125" bestFit="1" customWidth="1" min="7" max="7"/>
    <col width="19.1796875" bestFit="1" customWidth="1" min="8" max="8"/>
    <col width="18.453125" bestFit="1" customWidth="1" min="9" max="9"/>
    <col width="22.453125" bestFit="1" customWidth="1" min="10" max="10"/>
    <col width="20.453125" bestFit="1" customWidth="1" min="11" max="11"/>
    <col width="11.26953125" customWidth="1" min="13" max="13"/>
  </cols>
  <sheetData>
    <row r="1" ht="21.5" customHeight="1" thickBot="1">
      <c r="A1" s="67" t="inlineStr">
        <is>
          <t>Industrial BU - Tangier - Morocco</t>
        </is>
      </c>
      <c r="B1" s="69" t="n"/>
      <c r="C1" s="70" t="inlineStr">
        <is>
          <t>P02_VS1 - FOR136</t>
        </is>
      </c>
      <c r="D1" s="71" t="n"/>
      <c r="E1" s="71" t="n"/>
      <c r="F1" s="71" t="n"/>
      <c r="G1" s="71" t="n"/>
      <c r="H1" s="71" t="n"/>
      <c r="I1" s="71" t="n"/>
      <c r="J1" s="71" t="n"/>
      <c r="K1" s="72" t="n"/>
      <c r="L1" s="1" t="inlineStr">
        <is>
          <t>Rev</t>
        </is>
      </c>
      <c r="M1" s="2" t="n">
        <v>0</v>
      </c>
    </row>
    <row r="2" ht="24" customHeight="1" thickBot="1">
      <c r="A2" s="73" t="n"/>
      <c r="B2" s="75" t="n"/>
      <c r="C2" s="76" t="inlineStr">
        <is>
          <t xml:space="preserve">Suivi de la Maintenance Corrective  </t>
        </is>
      </c>
      <c r="D2" s="71" t="n"/>
      <c r="E2" s="71" t="n"/>
      <c r="F2" s="71" t="n"/>
      <c r="G2" s="71" t="n"/>
      <c r="H2" s="71" t="n"/>
      <c r="I2" s="71" t="n"/>
      <c r="J2" s="71" t="n"/>
      <c r="K2" s="72" t="n"/>
      <c r="L2" s="1" t="inlineStr">
        <is>
          <t>Date</t>
        </is>
      </c>
      <c r="M2" s="3" t="n">
        <v>45424</v>
      </c>
    </row>
    <row r="3" ht="7.5" customHeight="1"/>
    <row r="4" ht="22.5" customHeight="1">
      <c r="A4" s="77" t="inlineStr">
        <is>
          <t>Analyse des données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9" t="n"/>
    </row>
    <row r="10">
      <c r="A10" s="18" t="inlineStr">
        <is>
          <t>Mois</t>
        </is>
      </c>
      <c r="B10" t="inlineStr">
        <is>
          <t>(All)</t>
        </is>
      </c>
    </row>
    <row r="11">
      <c r="A11" s="18" t="inlineStr">
        <is>
          <t>Semaine</t>
        </is>
      </c>
      <c r="B11" t="inlineStr">
        <is>
          <t>(All)</t>
        </is>
      </c>
    </row>
    <row r="13">
      <c r="A13" s="18" t="inlineStr">
        <is>
          <t>Row Labels</t>
        </is>
      </c>
      <c r="B13" t="inlineStr">
        <is>
          <t>Sum of Durée de l'Arrêt
(min)</t>
        </is>
      </c>
      <c r="C13" t="inlineStr">
        <is>
          <t>%</t>
        </is>
      </c>
    </row>
    <row r="14">
      <c r="A14" s="19" t="inlineStr">
        <is>
          <t>BAM</t>
        </is>
      </c>
      <c r="B14" t="n">
        <v>700</v>
      </c>
      <c r="C14" s="20">
        <f>B14/SUM($B$14:$B$66)</f>
        <v/>
      </c>
    </row>
    <row r="15">
      <c r="A15" s="19" t="inlineStr">
        <is>
          <t>M4/6</t>
        </is>
      </c>
      <c r="B15" t="n">
        <v>680</v>
      </c>
      <c r="C15" s="20">
        <f>B15/SUM($B$14:$B$66)</f>
        <v/>
      </c>
    </row>
    <row r="16">
      <c r="A16" s="19" t="inlineStr">
        <is>
          <t xml:space="preserve">Ensacheuse Automatique </t>
        </is>
      </c>
      <c r="B16" t="n">
        <v>565</v>
      </c>
      <c r="C16" s="20">
        <f>B16/SUM($B$14:$B$66)</f>
        <v/>
      </c>
    </row>
    <row r="17">
      <c r="A17" s="19" t="inlineStr">
        <is>
          <t>SNK 5</t>
        </is>
      </c>
      <c r="B17" t="n">
        <v>525</v>
      </c>
      <c r="C17" s="20">
        <f>B17/SUM($B$14:$B$66)</f>
        <v/>
      </c>
    </row>
    <row r="18">
      <c r="A18" s="19" t="inlineStr">
        <is>
          <t>Test</t>
        </is>
      </c>
      <c r="B18" t="n">
        <v>255</v>
      </c>
      <c r="C18" s="20">
        <f>B18/SUM($B$14:$B$66)</f>
        <v/>
      </c>
    </row>
    <row r="19">
      <c r="A19" s="19" t="inlineStr">
        <is>
          <t>Komax Gamma</t>
        </is>
      </c>
      <c r="B19" t="n">
        <v>245</v>
      </c>
      <c r="C19" s="20">
        <f>B19/SUM($B$14:$B$66)</f>
        <v/>
      </c>
    </row>
    <row r="20">
      <c r="A20" s="19" t="inlineStr">
        <is>
          <t>EcoCut</t>
        </is>
      </c>
      <c r="B20" t="n">
        <v>200</v>
      </c>
      <c r="C20" s="20">
        <f>B20/SUM($B$14:$B$66)</f>
        <v/>
      </c>
    </row>
    <row r="21">
      <c r="A21" s="19" t="inlineStr">
        <is>
          <t>G-PRESS de Sertissage 2 TE</t>
        </is>
      </c>
      <c r="B21" t="n">
        <v>190</v>
      </c>
      <c r="C21" s="20">
        <f>B21/SUM($B$14:$B$66)</f>
        <v/>
      </c>
    </row>
    <row r="22">
      <c r="A22" s="19" t="inlineStr">
        <is>
          <t>Press Manuel</t>
        </is>
      </c>
      <c r="B22" t="n">
        <v>170</v>
      </c>
      <c r="C22" s="20">
        <f>B22/SUM($B$14:$B$66)</f>
        <v/>
      </c>
    </row>
    <row r="23">
      <c r="A23" s="19" t="inlineStr">
        <is>
          <t>ZS6</t>
        </is>
      </c>
      <c r="B23" t="n">
        <v>140</v>
      </c>
      <c r="C23" s="20">
        <f>B23/SUM($B$14:$B$66)</f>
        <v/>
      </c>
    </row>
    <row r="24">
      <c r="A24" s="19" t="inlineStr">
        <is>
          <t>G-Press</t>
        </is>
      </c>
      <c r="B24" t="n">
        <v>115</v>
      </c>
      <c r="C24" s="20">
        <f>B24/SUM($B$14:$B$66)</f>
        <v/>
      </c>
    </row>
    <row r="25">
      <c r="A25" s="19" t="inlineStr">
        <is>
          <t>HR Dénudeuse 4 fils</t>
        </is>
      </c>
      <c r="B25" t="n">
        <v>105</v>
      </c>
      <c r="C25" s="20">
        <f>B25/SUM($B$14:$B$66)</f>
        <v/>
      </c>
    </row>
    <row r="26">
      <c r="A26" s="19" t="inlineStr">
        <is>
          <t>Winding Machine Stator K11666</t>
        </is>
      </c>
      <c r="B26" t="n">
        <v>105</v>
      </c>
      <c r="C26" s="20">
        <f>B26/SUM($B$14:$B$66)</f>
        <v/>
      </c>
    </row>
    <row r="27">
      <c r="A27" s="19" t="inlineStr">
        <is>
          <t>Applicateur</t>
        </is>
      </c>
      <c r="B27" t="n">
        <v>100</v>
      </c>
      <c r="C27" s="20">
        <f>B27/SUM($B$14:$B$66)</f>
        <v/>
      </c>
    </row>
    <row r="28">
      <c r="A28" s="19" t="inlineStr">
        <is>
          <t>G-PRESS de Sertissage 3 TE</t>
        </is>
      </c>
      <c r="B28" t="n">
        <v>85</v>
      </c>
      <c r="C28" s="20">
        <f>B28/SUM($B$14:$B$66)</f>
        <v/>
      </c>
    </row>
    <row r="29">
      <c r="A29" s="19" t="inlineStr">
        <is>
          <t>Cutting Rail Automatique</t>
        </is>
      </c>
      <c r="B29" t="n">
        <v>75</v>
      </c>
      <c r="C29" s="20">
        <f>B29/SUM($B$14:$B$66)</f>
        <v/>
      </c>
    </row>
    <row r="30">
      <c r="A30" s="19" t="inlineStr">
        <is>
          <t>Denudeuse</t>
        </is>
      </c>
      <c r="B30" t="n">
        <v>75</v>
      </c>
      <c r="C30" s="20">
        <f>B30/SUM($B$14:$B$66)</f>
        <v/>
      </c>
    </row>
    <row r="31">
      <c r="A31" s="19" t="inlineStr">
        <is>
          <t xml:space="preserve">HR Connector assembly </t>
        </is>
      </c>
      <c r="B31" t="n">
        <v>55</v>
      </c>
      <c r="C31" s="20">
        <f>B31/SUM($B$14:$B$66)</f>
        <v/>
      </c>
    </row>
    <row r="32">
      <c r="A32" s="19" t="inlineStr">
        <is>
          <t xml:space="preserve">Alpha Jet Noir </t>
        </is>
      </c>
      <c r="B32" t="n">
        <v>50</v>
      </c>
      <c r="C32" s="20">
        <f>B32/SUM($B$14:$B$66)</f>
        <v/>
      </c>
    </row>
    <row r="33">
      <c r="A33" s="19" t="inlineStr">
        <is>
          <t>Machine de sertissage</t>
        </is>
      </c>
      <c r="B33" t="n">
        <v>50</v>
      </c>
      <c r="C33" s="20">
        <f>B33/SUM($B$14:$B$66)</f>
        <v/>
      </c>
    </row>
    <row r="34">
      <c r="A34" s="19" t="inlineStr">
        <is>
          <t>ZK2.5</t>
        </is>
      </c>
      <c r="B34" t="n">
        <v>45</v>
      </c>
      <c r="C34" s="20">
        <f>B34/SUM($B$14:$B$66)</f>
        <v/>
      </c>
    </row>
    <row r="35">
      <c r="A35" s="19" t="inlineStr">
        <is>
          <t>BOY 3</t>
        </is>
      </c>
      <c r="B35" t="n">
        <v>40</v>
      </c>
      <c r="C35" s="20">
        <f>B35/SUM($B$14:$B$66)</f>
        <v/>
      </c>
    </row>
    <row r="36">
      <c r="A36" s="19" t="inlineStr">
        <is>
          <t>Komax Alpha</t>
        </is>
      </c>
      <c r="B36" t="n">
        <v>35</v>
      </c>
      <c r="C36" s="20">
        <f>B36/SUM($B$14:$B$66)</f>
        <v/>
      </c>
    </row>
    <row r="37">
      <c r="A37" s="19" t="inlineStr">
        <is>
          <t xml:space="preserve">RC </t>
        </is>
      </c>
      <c r="B37" t="n">
        <v>35</v>
      </c>
      <c r="C37" s="20">
        <f>B37/SUM($B$14:$B$66)</f>
        <v/>
      </c>
    </row>
    <row r="38">
      <c r="A38" s="19" t="inlineStr">
        <is>
          <t>Ultrasonic 4</t>
        </is>
      </c>
      <c r="B38" t="n">
        <v>35</v>
      </c>
      <c r="C38" s="20">
        <f>B38/SUM($B$14:$B$66)</f>
        <v/>
      </c>
    </row>
    <row r="39">
      <c r="A39" s="19" t="inlineStr">
        <is>
          <t>Ultrasonic 1</t>
        </is>
      </c>
      <c r="B39" t="n">
        <v>35</v>
      </c>
      <c r="C39" s="20">
        <f>B39/SUM($B$14:$B$66)</f>
        <v/>
      </c>
    </row>
    <row r="40">
      <c r="A40" s="19" t="inlineStr">
        <is>
          <t>Winding Machine Rotor K06677</t>
        </is>
      </c>
      <c r="B40" t="n">
        <v>30</v>
      </c>
      <c r="C40" s="20">
        <f>B40/SUM($B$14:$B$66)</f>
        <v/>
      </c>
    </row>
    <row r="41">
      <c r="A41" s="19" t="inlineStr">
        <is>
          <t>Machine de dénudage</t>
        </is>
      </c>
      <c r="B41" t="n">
        <v>30</v>
      </c>
      <c r="C41" s="20">
        <f>B41/SUM($B$14:$B$66)</f>
        <v/>
      </c>
    </row>
    <row r="42">
      <c r="A42" s="19" t="inlineStr">
        <is>
          <t>Test 2 : MARTA 2-2</t>
        </is>
      </c>
      <c r="B42" t="n">
        <v>30</v>
      </c>
      <c r="C42" s="20">
        <f>B42/SUM($B$14:$B$66)</f>
        <v/>
      </c>
    </row>
    <row r="43">
      <c r="A43" s="19" t="inlineStr">
        <is>
          <t xml:space="preserve">Power Strip 1 </t>
        </is>
      </c>
      <c r="B43" t="n">
        <v>30</v>
      </c>
      <c r="C43" s="20">
        <f>B43/SUM($B$14:$B$66)</f>
        <v/>
      </c>
    </row>
    <row r="44">
      <c r="A44" s="19" t="inlineStr">
        <is>
          <t>ZS4</t>
        </is>
      </c>
      <c r="B44" t="n">
        <v>30</v>
      </c>
      <c r="C44" s="20">
        <f>B44/SUM($B$14:$B$66)</f>
        <v/>
      </c>
    </row>
    <row r="45">
      <c r="A45" s="19" t="inlineStr">
        <is>
          <t>SNK 6</t>
        </is>
      </c>
      <c r="B45" t="n">
        <v>25</v>
      </c>
      <c r="C45" s="20">
        <f>B45/SUM($B$14:$B$66)</f>
        <v/>
      </c>
    </row>
    <row r="46">
      <c r="A46" s="19" t="inlineStr">
        <is>
          <t>BAZ1</t>
        </is>
      </c>
      <c r="B46" t="n">
        <v>25</v>
      </c>
      <c r="C46" s="20">
        <f>B46/SUM($B$14:$B$66)</f>
        <v/>
      </c>
    </row>
    <row r="47">
      <c r="A47" s="19" t="inlineStr">
        <is>
          <t>G-PRESS de Sertissage 4-AMP</t>
        </is>
      </c>
      <c r="B47" t="n">
        <v>25</v>
      </c>
      <c r="C47" s="20">
        <f>B47/SUM($B$14:$B$66)</f>
        <v/>
      </c>
    </row>
    <row r="48">
      <c r="A48" s="19" t="inlineStr">
        <is>
          <t xml:space="preserve">Laser Marking System </t>
        </is>
      </c>
      <c r="B48" t="n">
        <v>20</v>
      </c>
      <c r="C48" s="20">
        <f>B48/SUM($B$14:$B$66)</f>
        <v/>
      </c>
    </row>
    <row r="49">
      <c r="A49" s="19" t="inlineStr">
        <is>
          <t>HR Gpress StripCrimp</t>
        </is>
      </c>
      <c r="B49" t="n">
        <v>20</v>
      </c>
      <c r="C49" s="20">
        <f>B49/SUM($B$14:$B$66)</f>
        <v/>
      </c>
    </row>
    <row r="50">
      <c r="A50" s="19" t="inlineStr">
        <is>
          <t>Test 2 : MARTA 4-1</t>
        </is>
      </c>
      <c r="B50" t="n">
        <v>20</v>
      </c>
      <c r="C50" s="20">
        <f>B50/SUM($B$14:$B$66)</f>
        <v/>
      </c>
    </row>
    <row r="51">
      <c r="A51" s="19" t="inlineStr">
        <is>
          <t>SNK 2</t>
        </is>
      </c>
      <c r="B51" t="n">
        <v>20</v>
      </c>
      <c r="C51" s="20">
        <f>B51/SUM($B$14:$B$66)</f>
        <v/>
      </c>
    </row>
    <row r="52">
      <c r="A52" s="19" t="inlineStr">
        <is>
          <t>G-PRESS de Sertissage 1 TE</t>
        </is>
      </c>
      <c r="B52" t="n">
        <v>15</v>
      </c>
      <c r="C52" s="20">
        <f>B52/SUM($B$14:$B$66)</f>
        <v/>
      </c>
    </row>
    <row r="53">
      <c r="A53" s="19" t="inlineStr">
        <is>
          <t>BOY 5</t>
        </is>
      </c>
      <c r="B53" t="n">
        <v>15</v>
      </c>
      <c r="C53" s="20">
        <f>B53/SUM($B$14:$B$66)</f>
        <v/>
      </c>
    </row>
    <row r="54">
      <c r="A54" s="19" t="inlineStr">
        <is>
          <t>Power Strip 2</t>
        </is>
      </c>
      <c r="B54" t="n">
        <v>10</v>
      </c>
      <c r="C54" s="20">
        <f>B54/SUM($B$14:$B$66)</f>
        <v/>
      </c>
    </row>
    <row r="55">
      <c r="A55" s="19" t="inlineStr">
        <is>
          <t>(blank)</t>
        </is>
      </c>
      <c r="C55" s="20">
        <f>B55/SUM($B$14:$B$66)</f>
        <v/>
      </c>
    </row>
    <row r="56">
      <c r="A56" s="19" t="inlineStr">
        <is>
          <t>Grand Total</t>
        </is>
      </c>
      <c r="B56" t="n">
        <v>5055</v>
      </c>
      <c r="C56" s="20">
        <f>B56/SUM($B$14:$B$66)</f>
        <v/>
      </c>
    </row>
    <row r="57">
      <c r="C57" s="20">
        <f>B57/SUM($B$14:$B$66)</f>
        <v/>
      </c>
    </row>
    <row r="58">
      <c r="C58" s="20">
        <f>B58/SUM($B$14:$B$66)</f>
        <v/>
      </c>
    </row>
    <row r="59">
      <c r="C59" s="20">
        <f>B59/SUM($B$14:$B$66)</f>
        <v/>
      </c>
    </row>
    <row r="60">
      <c r="C60" s="20">
        <f>B60/SUM($B$14:$B$66)</f>
        <v/>
      </c>
    </row>
    <row r="61">
      <c r="C61" s="20">
        <f>B61/SUM($B$14:$B$66)</f>
        <v/>
      </c>
    </row>
    <row r="62">
      <c r="C62" s="20">
        <f>B62/SUM($B$14:$B$66)</f>
        <v/>
      </c>
    </row>
    <row r="63">
      <c r="C63" s="20">
        <f>B63/SUM($B$14:$B$66)</f>
        <v/>
      </c>
    </row>
    <row r="64">
      <c r="C64" s="20">
        <f>B64/SUM($B$14:$B$66)</f>
        <v/>
      </c>
    </row>
    <row r="65">
      <c r="C65" s="20">
        <f>B65/SUM($B$14:$B$66)</f>
        <v/>
      </c>
    </row>
    <row r="66">
      <c r="C66" s="20">
        <f>B66/SUM($B$14:$B$66)</f>
        <v/>
      </c>
    </row>
    <row r="67">
      <c r="C67" s="20">
        <f>B67/SUM($B$14:$B$66)</f>
        <v/>
      </c>
    </row>
  </sheetData>
  <mergeCells count="4">
    <mergeCell ref="A1:B2"/>
    <mergeCell ref="C2:K2"/>
    <mergeCell ref="C1:K1"/>
    <mergeCell ref="A4:M4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4"/>
  <sheetViews>
    <sheetView showGridLines="0" topLeftCell="A4" workbookViewId="0">
      <selection activeCell="G7" sqref="G7"/>
    </sheetView>
  </sheetViews>
  <sheetFormatPr baseColWidth="8" defaultRowHeight="14.5"/>
  <cols>
    <col width="1.54296875" customWidth="1" min="1" max="1"/>
    <col width="12.54296875" customWidth="1" min="2" max="2"/>
    <col width="16.08984375" customWidth="1" min="3" max="3"/>
    <col width="27.1796875" customWidth="1" min="4" max="4"/>
    <col width="13.7265625" customWidth="1" min="5" max="5"/>
    <col width="21.1796875" customWidth="1" min="6" max="6"/>
    <col width="31" customWidth="1" min="7" max="7"/>
    <col width="15.26953125" customWidth="1" min="8" max="8"/>
    <col width="13.81640625" customWidth="1" min="9" max="9"/>
    <col width="13" customWidth="1" min="10" max="11"/>
    <col width="11.26953125" customWidth="1" min="12" max="12"/>
  </cols>
  <sheetData>
    <row r="1" ht="21.5" customHeight="1" thickBot="1">
      <c r="B1" s="67" t="inlineStr">
        <is>
          <t>Industrial BU - Tangier - Morocco</t>
        </is>
      </c>
      <c r="C1" s="69" t="n"/>
      <c r="D1" s="70" t="inlineStr">
        <is>
          <t>P02_VS1 - FOR136</t>
        </is>
      </c>
      <c r="E1" s="71" t="n"/>
      <c r="F1" s="71" t="n"/>
      <c r="G1" s="71" t="n"/>
      <c r="H1" s="71" t="n"/>
      <c r="I1" s="71" t="n"/>
      <c r="J1" s="72" t="n"/>
      <c r="K1" s="1" t="inlineStr">
        <is>
          <t>Rev</t>
        </is>
      </c>
      <c r="L1" s="2" t="n">
        <v>0</v>
      </c>
    </row>
    <row r="2" ht="24" customHeight="1" thickBot="1">
      <c r="B2" s="73" t="n"/>
      <c r="C2" s="75" t="n"/>
      <c r="D2" s="76" t="inlineStr">
        <is>
          <t xml:space="preserve">Suivi de la Maintenance Corrective  </t>
        </is>
      </c>
      <c r="E2" s="71" t="n"/>
      <c r="F2" s="71" t="n"/>
      <c r="G2" s="71" t="n"/>
      <c r="H2" s="71" t="n"/>
      <c r="I2" s="71" t="n"/>
      <c r="J2" s="72" t="n"/>
      <c r="K2" s="1" t="inlineStr">
        <is>
          <t>Date</t>
        </is>
      </c>
      <c r="L2" s="3" t="n">
        <v>45424</v>
      </c>
    </row>
    <row r="3" ht="7.5" customHeight="1"/>
    <row r="4" ht="22.5" customHeight="1">
      <c r="B4" s="77" t="inlineStr">
        <is>
          <t>Plan d'action</t>
        </is>
      </c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9" t="n"/>
    </row>
    <row r="5" ht="15" customHeight="1" thickBot="1">
      <c r="B5" t="inlineStr">
        <is>
          <t>Note: (*) définir une durée de surveillance de réapparition du problème, si le problème ne réapparét pas donc l'action corrective est efficace, sinon refaire l'analyse.</t>
        </is>
      </c>
    </row>
    <row r="6" ht="29.5" customFormat="1" customHeight="1" s="5" thickBot="1">
      <c r="B6" s="6" t="inlineStr">
        <is>
          <t>Mois / Année</t>
        </is>
      </c>
      <c r="C6" s="66" t="inlineStr">
        <is>
          <t xml:space="preserve">Machine </t>
        </is>
      </c>
      <c r="D6" s="66" t="inlineStr">
        <is>
          <t>Description du problème</t>
        </is>
      </c>
      <c r="E6" s="66" t="inlineStr">
        <is>
          <t>Analyse des cause</t>
        </is>
      </c>
      <c r="F6" s="81" t="n"/>
      <c r="G6" s="66" t="inlineStr">
        <is>
          <t>Actions correctives</t>
        </is>
      </c>
      <c r="H6" s="66" t="inlineStr">
        <is>
          <t>Responsables</t>
        </is>
      </c>
      <c r="I6" s="8" t="inlineStr">
        <is>
          <t>Date prévue de réalisation</t>
        </is>
      </c>
      <c r="J6" s="8" t="inlineStr">
        <is>
          <t>Date de réalisation</t>
        </is>
      </c>
      <c r="K6" s="8" t="inlineStr">
        <is>
          <t>Statut de l'action</t>
        </is>
      </c>
      <c r="L6" s="9" t="inlineStr">
        <is>
          <t>Efficacité *</t>
        </is>
      </c>
    </row>
    <row r="7" ht="29" customFormat="1" customHeight="1" s="4">
      <c r="B7" s="82" t="n"/>
      <c r="C7" s="83" t="n"/>
      <c r="D7" s="84" t="n"/>
      <c r="E7" s="10" t="inlineStr">
        <is>
          <t>Cause d'occurance:</t>
        </is>
      </c>
      <c r="F7" s="11" t="n"/>
      <c r="G7" s="11" t="n"/>
      <c r="H7" s="12" t="n"/>
      <c r="I7" s="12" t="n"/>
      <c r="J7" s="12" t="n"/>
      <c r="K7" s="12" t="n"/>
      <c r="L7" s="13" t="n"/>
    </row>
    <row r="8" ht="29.5" customFormat="1" customHeight="1" s="4" thickBot="1">
      <c r="B8" s="85" t="n"/>
      <c r="C8" s="86" t="n"/>
      <c r="D8" s="87" t="n"/>
      <c r="E8" s="14" t="inlineStr">
        <is>
          <t>Cause de non-détection</t>
        </is>
      </c>
      <c r="F8" s="15" t="n"/>
      <c r="G8" s="15" t="n"/>
      <c r="H8" s="16" t="n"/>
      <c r="I8" s="16" t="n"/>
      <c r="J8" s="16" t="n"/>
      <c r="K8" s="16" t="n"/>
      <c r="L8" s="17" t="n"/>
    </row>
    <row r="9" ht="29" customFormat="1" customHeight="1" s="4">
      <c r="B9" s="88" t="n"/>
      <c r="C9" s="83" t="n"/>
      <c r="D9" s="89" t="n"/>
      <c r="E9" s="10" t="inlineStr">
        <is>
          <t>Cause d'occurance:</t>
        </is>
      </c>
      <c r="F9" s="11" t="n"/>
      <c r="G9" s="11" t="n"/>
      <c r="H9" s="12" t="n"/>
      <c r="I9" s="12" t="n"/>
      <c r="J9" s="12" t="n"/>
      <c r="K9" s="12" t="n"/>
      <c r="L9" s="13" t="n"/>
    </row>
    <row r="10" ht="29.5" customFormat="1" customHeight="1" s="4" thickBot="1">
      <c r="B10" s="85" t="n"/>
      <c r="C10" s="86" t="n"/>
      <c r="D10" s="87" t="n"/>
      <c r="E10" s="14" t="inlineStr">
        <is>
          <t>Cause de non-détection</t>
        </is>
      </c>
      <c r="F10" s="15" t="n"/>
      <c r="G10" s="15" t="n"/>
      <c r="H10" s="16" t="n"/>
      <c r="I10" s="16" t="n"/>
      <c r="J10" s="16" t="n"/>
      <c r="K10" s="16" t="n"/>
      <c r="L10" s="17" t="n"/>
    </row>
    <row r="11" ht="29" customFormat="1" customHeight="1" s="4">
      <c r="B11" s="88" t="n"/>
      <c r="C11" s="83" t="n"/>
      <c r="D11" s="89" t="n"/>
      <c r="E11" s="10" t="inlineStr">
        <is>
          <t>Cause d'occurance:</t>
        </is>
      </c>
      <c r="F11" s="11" t="n"/>
      <c r="G11" s="11" t="n"/>
      <c r="H11" s="12" t="n"/>
      <c r="I11" s="12" t="n"/>
      <c r="J11" s="12" t="n"/>
      <c r="K11" s="12" t="n"/>
      <c r="L11" s="13" t="n"/>
    </row>
    <row r="12" ht="29.5" customFormat="1" customHeight="1" s="4" thickBot="1">
      <c r="B12" s="85" t="n"/>
      <c r="C12" s="86" t="n"/>
      <c r="D12" s="87" t="n"/>
      <c r="E12" s="14" t="inlineStr">
        <is>
          <t>Cause de non-détection</t>
        </is>
      </c>
      <c r="F12" s="15" t="n"/>
      <c r="G12" s="15" t="n"/>
      <c r="H12" s="16" t="n"/>
      <c r="I12" s="16" t="n"/>
      <c r="J12" s="16" t="n"/>
      <c r="K12" s="16" t="n"/>
      <c r="L12" s="17" t="n"/>
    </row>
    <row r="13" ht="29" customFormat="1" customHeight="1" s="4">
      <c r="B13" s="88" t="n"/>
      <c r="C13" s="83" t="n"/>
      <c r="D13" s="89" t="n"/>
      <c r="E13" s="10" t="inlineStr">
        <is>
          <t>Cause d'occurance:</t>
        </is>
      </c>
      <c r="F13" s="11" t="n"/>
      <c r="G13" s="11" t="n"/>
      <c r="H13" s="12" t="n"/>
      <c r="I13" s="12" t="n"/>
      <c r="J13" s="12" t="n"/>
      <c r="K13" s="12" t="n"/>
      <c r="L13" s="13" t="n"/>
    </row>
    <row r="14" ht="29.5" customFormat="1" customHeight="1" s="4" thickBot="1">
      <c r="B14" s="85" t="n"/>
      <c r="C14" s="86" t="n"/>
      <c r="D14" s="87" t="n"/>
      <c r="E14" s="14" t="inlineStr">
        <is>
          <t>Cause de non-détection</t>
        </is>
      </c>
      <c r="F14" s="15" t="n"/>
      <c r="G14" s="15" t="n"/>
      <c r="H14" s="16" t="n"/>
      <c r="I14" s="16" t="n"/>
      <c r="J14" s="16" t="n"/>
      <c r="K14" s="16" t="n"/>
      <c r="L14" s="17" t="n"/>
    </row>
  </sheetData>
  <mergeCells count="17">
    <mergeCell ref="C9:C10"/>
    <mergeCell ref="B9:B10"/>
    <mergeCell ref="B4:L4"/>
    <mergeCell ref="D9:D10"/>
    <mergeCell ref="E6:F6"/>
    <mergeCell ref="B13:B14"/>
    <mergeCell ref="D13:D14"/>
    <mergeCell ref="B1:C2"/>
    <mergeCell ref="C7:C8"/>
    <mergeCell ref="B7:B8"/>
    <mergeCell ref="B11:B12"/>
    <mergeCell ref="D7:D8"/>
    <mergeCell ref="D11:D12"/>
    <mergeCell ref="C11:C12"/>
    <mergeCell ref="D2:J2"/>
    <mergeCell ref="D1:J1"/>
    <mergeCell ref="C13:C14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0"/>
  <sheetViews>
    <sheetView showGridLines="0" zoomScale="70" zoomScaleNormal="70" workbookViewId="0">
      <selection activeCell="F30" sqref="F30"/>
    </sheetView>
  </sheetViews>
  <sheetFormatPr baseColWidth="8" defaultRowHeight="14.5"/>
  <cols>
    <col width="21.81640625" bestFit="1" customWidth="1" min="1" max="1"/>
    <col width="17" customWidth="1" min="2" max="2"/>
    <col width="20.453125" customWidth="1" style="4" min="3" max="3"/>
    <col width="40.81640625" bestFit="1" customWidth="1" style="39" min="4" max="4"/>
    <col width="15.26953125" customWidth="1" min="5" max="5"/>
    <col width="39.36328125" customWidth="1" min="6" max="6"/>
    <col width="10.54296875" customWidth="1" min="7" max="7"/>
    <col width="34.81640625" bestFit="1" customWidth="1" min="8" max="8"/>
    <col width="30.26953125" customWidth="1" min="9" max="9"/>
    <col width="20" customWidth="1" min="10" max="10"/>
    <col width="36" bestFit="1" customWidth="1" min="11" max="11"/>
    <col width="33.54296875" bestFit="1" customWidth="1" min="12" max="12"/>
    <col width="29.1796875" customWidth="1" min="13" max="13"/>
    <col width="23.7265625" customWidth="1" min="14" max="14"/>
    <col width="20.6328125" customWidth="1" min="15" max="15"/>
    <col width="22.36328125" customWidth="1" min="16" max="16"/>
    <col width="19.1796875" customWidth="1" min="17" max="17"/>
    <col width="29.08984375" customWidth="1" min="18" max="18"/>
    <col width="23.08984375" customWidth="1" min="19" max="19"/>
    <col width="17.81640625" customWidth="1" min="20" max="20"/>
    <col width="14.6328125" customWidth="1" min="21" max="21"/>
  </cols>
  <sheetData>
    <row r="1" ht="21.5" customHeight="1" thickBot="1">
      <c r="A1" s="67" t="inlineStr">
        <is>
          <t>Industrial BU - Tangier - Morocco</t>
        </is>
      </c>
      <c r="B1" s="69" t="n"/>
      <c r="C1" s="70" t="inlineStr">
        <is>
          <t>P02_VS1 - FOR136</t>
        </is>
      </c>
      <c r="D1" s="71" t="n"/>
      <c r="E1" s="71" t="n"/>
      <c r="F1" s="71" t="n"/>
      <c r="G1" s="71" t="n"/>
      <c r="H1" s="71" t="n"/>
      <c r="I1" s="71" t="n"/>
      <c r="J1" s="71" t="n"/>
      <c r="K1" s="71" t="n"/>
      <c r="L1" s="72" t="n"/>
      <c r="M1" s="1" t="inlineStr">
        <is>
          <t>Rev</t>
        </is>
      </c>
      <c r="N1" s="2" t="n">
        <v>0</v>
      </c>
    </row>
    <row r="2" ht="24" customHeight="1" thickBot="1">
      <c r="A2" s="73" t="n"/>
      <c r="B2" s="75" t="n"/>
      <c r="C2" s="76" t="inlineStr">
        <is>
          <t xml:space="preserve">Suivi de la Maintenance Corrective  </t>
        </is>
      </c>
      <c r="D2" s="71" t="n"/>
      <c r="E2" s="71" t="n"/>
      <c r="F2" s="71" t="n"/>
      <c r="G2" s="71" t="n"/>
      <c r="H2" s="71" t="n"/>
      <c r="I2" s="71" t="n"/>
      <c r="J2" s="71" t="n"/>
      <c r="K2" s="71" t="n"/>
      <c r="L2" s="72" t="n"/>
      <c r="M2" s="1" t="inlineStr">
        <is>
          <t>Date</t>
        </is>
      </c>
      <c r="N2" s="3" t="n">
        <v>45424</v>
      </c>
    </row>
    <row r="3" ht="7.5" customHeight="1"/>
    <row r="4" ht="22.5" customHeight="1">
      <c r="A4" s="77" t="inlineStr">
        <is>
          <t>Analyse des données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9" t="n"/>
    </row>
    <row r="5"/>
    <row r="6"/>
    <row r="7" ht="21.5" customHeight="1" thickBot="1">
      <c r="I7" s="26" t="n"/>
    </row>
    <row r="8" ht="21" customHeight="1">
      <c r="A8" s="27" t="inlineStr">
        <is>
          <t>Intervenant</t>
        </is>
      </c>
      <c r="B8" s="29" t="inlineStr">
        <is>
          <t>Status intervention</t>
        </is>
      </c>
      <c r="C8" s="22" t="inlineStr">
        <is>
          <t>type d'arrêt</t>
        </is>
      </c>
      <c r="D8" s="27" t="inlineStr">
        <is>
          <t>TYPE D'INTERVENTION</t>
        </is>
      </c>
      <c r="E8" s="27" t="inlineStr">
        <is>
          <t>Shift</t>
        </is>
      </c>
      <c r="F8" s="21" t="inlineStr">
        <is>
          <t>Projet</t>
        </is>
      </c>
      <c r="H8" s="40" t="inlineStr">
        <is>
          <t>Cable</t>
        </is>
      </c>
      <c r="I8" s="40" t="inlineStr">
        <is>
          <t>BTB</t>
        </is>
      </c>
      <c r="J8" s="40" t="inlineStr">
        <is>
          <t>IDC</t>
        </is>
      </c>
      <c r="K8" s="40" t="inlineStr">
        <is>
          <t>Maxibridge_Female</t>
        </is>
      </c>
      <c r="L8" s="40" t="inlineStr">
        <is>
          <t>MCB_Female</t>
        </is>
      </c>
      <c r="M8" s="40" t="inlineStr">
        <is>
          <t>MCB_Male</t>
        </is>
      </c>
      <c r="N8" s="40" t="inlineStr">
        <is>
          <t>MCC_180_Female</t>
        </is>
      </c>
      <c r="O8" s="40" t="inlineStr">
        <is>
          <t>MCC_180_Male</t>
        </is>
      </c>
      <c r="P8" s="40" t="inlineStr">
        <is>
          <t>MCC_90_Female</t>
        </is>
      </c>
      <c r="Q8" s="40" t="inlineStr">
        <is>
          <t>MCC_90_Male</t>
        </is>
      </c>
      <c r="R8" s="40" t="inlineStr">
        <is>
          <t>MCC_90_Male_Female</t>
        </is>
      </c>
      <c r="S8" s="40" t="inlineStr">
        <is>
          <t>Power_Connector</t>
        </is>
      </c>
      <c r="T8" s="40" t="inlineStr">
        <is>
          <t>RWB_Female</t>
        </is>
      </c>
      <c r="U8" s="40" t="inlineStr">
        <is>
          <t>RWB Male</t>
        </is>
      </c>
    </row>
    <row r="9" ht="21" customHeight="1">
      <c r="A9" s="28" t="inlineStr">
        <is>
          <t>BEN DAOUD MOHAMED</t>
        </is>
      </c>
      <c r="B9" s="30" t="inlineStr">
        <is>
          <t>Terminer</t>
        </is>
      </c>
      <c r="C9" s="24" t="inlineStr">
        <is>
          <t>Maintenance</t>
        </is>
      </c>
      <c r="D9" s="32" t="inlineStr">
        <is>
          <t>ELECTRIQUE</t>
        </is>
      </c>
      <c r="E9" s="28" t="inlineStr">
        <is>
          <t>6h-14h</t>
        </is>
      </c>
      <c r="F9" s="23" t="inlineStr">
        <is>
          <t>Cable</t>
        </is>
      </c>
      <c r="H9" s="23" t="inlineStr">
        <is>
          <t>AIR WIRE STRIPPER_00465</t>
        </is>
      </c>
      <c r="I9" s="23" t="inlineStr">
        <is>
          <t>Assembly board to board II A_501170</t>
        </is>
      </c>
      <c r="J9" s="23" t="inlineStr">
        <is>
          <t>IDC_Packing machine_01752</t>
        </is>
      </c>
      <c r="K9" s="23" t="inlineStr">
        <is>
          <t>Maxibridge Female Line 4_00865</t>
        </is>
      </c>
      <c r="L9" s="23" t="inlineStr">
        <is>
          <t>Microbridge Female_Camera inspection_741159 (02252)</t>
        </is>
      </c>
      <c r="M9" s="23" t="inlineStr">
        <is>
          <t>MCB Male_Packing  BK-05_582296</t>
        </is>
      </c>
      <c r="N9" s="23" t="inlineStr">
        <is>
          <t>MCC 180 Female_DRCB_Eberhard 5_582134 (01767)</t>
        </is>
      </c>
      <c r="O9" s="23" t="inlineStr">
        <is>
          <t>MCC 180 Male EOL_01833</t>
        </is>
      </c>
      <c r="P9" s="23" t="inlineStr">
        <is>
          <t>MCC 90 Female_Eberhard7_582155</t>
        </is>
      </c>
      <c r="Q9" s="23" t="inlineStr">
        <is>
          <t>MCC 90 Male_Eberhard 10_582156</t>
        </is>
      </c>
      <c r="R9" s="23" t="inlineStr">
        <is>
          <t>MCC 90_Printing machine_02213</t>
        </is>
      </c>
      <c r="S9" s="23" t="inlineStr">
        <is>
          <t>Clip Insert M/C _01766</t>
        </is>
      </c>
      <c r="T9" s="23" t="inlineStr">
        <is>
          <t>Cutting Shield female(reeling system)_51664</t>
        </is>
      </c>
      <c r="U9" s="23" t="inlineStr">
        <is>
          <t>Cutting Shield Female_02163</t>
        </is>
      </c>
    </row>
    <row r="10" ht="21" customHeight="1">
      <c r="A10" s="28" t="inlineStr">
        <is>
          <t>NAOUFAL MAFHOUM</t>
        </is>
      </c>
      <c r="B10" s="31" t="inlineStr">
        <is>
          <t>En cours</t>
        </is>
      </c>
      <c r="C10" s="25" t="inlineStr">
        <is>
          <t>Production</t>
        </is>
      </c>
      <c r="D10" s="28" t="inlineStr">
        <is>
          <t>MECANIQUE</t>
        </is>
      </c>
      <c r="E10" s="28" t="inlineStr">
        <is>
          <t>14h-22h</t>
        </is>
      </c>
      <c r="F10" s="23" t="inlineStr">
        <is>
          <t>BTB</t>
        </is>
      </c>
      <c r="H10" s="23" t="inlineStr">
        <is>
          <t>AIR WIRE STRIPPER_00466</t>
        </is>
      </c>
      <c r="I10" s="23" t="inlineStr">
        <is>
          <t>Assembly board to board II B_501595</t>
        </is>
      </c>
      <c r="J10" s="23" t="n"/>
      <c r="K10" s="23" t="inlineStr">
        <is>
          <t>Maxibridge Female Line 4_Printing CRT4A7I9J</t>
        </is>
      </c>
      <c r="L10" s="23" t="inlineStr">
        <is>
          <t>Microbridge Female_Eberhard8_582313 (02250)</t>
        </is>
      </c>
      <c r="M10" s="23" t="inlineStr">
        <is>
          <t>MCB Male_Universal OVEN XUE490_02344</t>
        </is>
      </c>
      <c r="N10" s="23" t="inlineStr">
        <is>
          <t>MCC 180 Female_EOL neunman machine_582188 (02357)</t>
        </is>
      </c>
      <c r="O10" s="23" t="inlineStr">
        <is>
          <t>MCC 180 Male_DRCQ_Eberhard 6_582135 (01771)</t>
        </is>
      </c>
      <c r="P10" s="23" t="inlineStr">
        <is>
          <t>MCC Female 90°_Camera inspection_741200</t>
        </is>
      </c>
      <c r="Q10" s="23" t="inlineStr">
        <is>
          <t>MCC Male 90°_Camera Inspection_741068</t>
        </is>
      </c>
      <c r="R10" s="23" t="inlineStr">
        <is>
          <t>MCC 90°_Packing machine_02211 (241147)</t>
        </is>
      </c>
      <c r="S10" s="23" t="inlineStr">
        <is>
          <t>Cutting Contact Siemens_541174 (02346)</t>
        </is>
      </c>
      <c r="T10" s="23" t="inlineStr">
        <is>
          <t>RWB Female_Camera testing machine_741061 (01755) intergrated in the EOL</t>
        </is>
      </c>
      <c r="U10" s="23" t="inlineStr">
        <is>
          <t>Feeder system for maunal cutting sheild_541070</t>
        </is>
      </c>
    </row>
    <row r="11" ht="21" customHeight="1">
      <c r="A11" s="28" t="n"/>
      <c r="B11" s="23" t="n"/>
      <c r="C11" s="28" t="n"/>
      <c r="D11" s="28" t="inlineStr">
        <is>
          <t>PNEUMATIQUE</t>
        </is>
      </c>
      <c r="E11" s="28" t="inlineStr">
        <is>
          <t>22h-6h</t>
        </is>
      </c>
      <c r="F11" s="23" t="inlineStr">
        <is>
          <t>IDC</t>
        </is>
      </c>
      <c r="H11" s="23" t="inlineStr">
        <is>
          <t>ASSY KOSAL CONTACT_00163</t>
        </is>
      </c>
      <c r="I11" s="23" t="inlineStr">
        <is>
          <t>BTB_Camera inspection_741112</t>
        </is>
      </c>
      <c r="J11" s="23" t="n"/>
      <c r="K11" s="23" t="inlineStr">
        <is>
          <t>Maxibridge Female Line 5_01209</t>
        </is>
      </c>
      <c r="L11" s="23" t="n"/>
      <c r="M11" s="23" t="inlineStr">
        <is>
          <t>Microbridge Male_Camera inspection_741160</t>
        </is>
      </c>
      <c r="N11" s="23" t="inlineStr">
        <is>
          <t>MCC 180 Female_Printing CRACTB9B3E_01332 intergrated in the EOL</t>
        </is>
      </c>
      <c r="O11" s="23" t="inlineStr">
        <is>
          <t>MCC 180 Male_Packing machine intergrated in the EOL</t>
        </is>
      </c>
      <c r="P11" s="23" t="n"/>
      <c r="Q11" s="23" t="n"/>
      <c r="R11" s="23" t="n"/>
      <c r="S11" s="23" t="inlineStr">
        <is>
          <t>Maxibridge camera Inspection_741156 (01372)</t>
        </is>
      </c>
      <c r="T11" s="23" t="inlineStr">
        <is>
          <t>RWB Female_Eberhard_Contact assembly machine  MES 529_01754</t>
        </is>
      </c>
      <c r="U11" s="23" t="inlineStr">
        <is>
          <t>KGK CCS-R 50 Micron_01832</t>
        </is>
      </c>
    </row>
    <row r="12" ht="21" customHeight="1">
      <c r="A12" s="28" t="n"/>
      <c r="B12" s="23" t="n"/>
      <c r="C12" s="28" t="n"/>
      <c r="D12" s="28" t="inlineStr">
        <is>
          <t>HYDRAULIQUE</t>
        </is>
      </c>
      <c r="E12" s="28" t="n"/>
      <c r="F12" s="23" t="inlineStr">
        <is>
          <t>Maxibridge_Female</t>
        </is>
      </c>
      <c r="H12" s="23" t="inlineStr">
        <is>
          <t>Computerized wire cutting and Stripping_01412</t>
        </is>
      </c>
      <c r="I12" s="23" t="inlineStr">
        <is>
          <t>E-Test Leshin Lx650_LX 164235</t>
        </is>
      </c>
      <c r="J12" s="23" t="n"/>
      <c r="K12" s="23" t="inlineStr">
        <is>
          <t>Maxibridge Female Line 5_Printing CRTB7F3J</t>
        </is>
      </c>
      <c r="L12" s="23" t="n"/>
      <c r="M12" s="23" t="inlineStr">
        <is>
          <t>Microbridge Male_Eberhard9_Contact insert_582297</t>
        </is>
      </c>
      <c r="N12" s="23" t="inlineStr">
        <is>
          <t>MCC 180° Female_Packing machine intergrated in the EOL</t>
        </is>
      </c>
      <c r="O12" s="23" t="inlineStr">
        <is>
          <t>MCC 180 Male_Printing machine CRACTSC2B0D_02054 intergrated in the EOL</t>
        </is>
      </c>
      <c r="P12" s="23" t="n"/>
      <c r="Q12" s="23" t="n"/>
      <c r="R12" s="23" t="n"/>
      <c r="S12" s="23" t="inlineStr">
        <is>
          <t>Maxibridge Seal machine_01725</t>
        </is>
      </c>
      <c r="T12" s="23" t="inlineStr">
        <is>
          <t>RWB Female_Eberhard_Contact assembly machine MES 545_01758</t>
        </is>
      </c>
      <c r="U12" s="23" t="inlineStr">
        <is>
          <t>RWB Male_Camera inspection_741136 (01756)</t>
        </is>
      </c>
    </row>
    <row r="13" ht="21" customHeight="1">
      <c r="A13" s="28" t="n"/>
      <c r="B13" s="23" t="n"/>
      <c r="C13" s="28" t="n"/>
      <c r="D13" s="28" t="inlineStr">
        <is>
          <t>ELECTRONIQUE</t>
        </is>
      </c>
      <c r="E13" s="28" t="n"/>
      <c r="F13" s="23" t="inlineStr">
        <is>
          <t>MCB_Female</t>
        </is>
      </c>
      <c r="H13" s="23" t="inlineStr">
        <is>
          <t>Junquan cutting and stripping_00610</t>
        </is>
      </c>
      <c r="I13" s="23" t="inlineStr">
        <is>
          <t>Optimel Ferite_01530</t>
        </is>
      </c>
      <c r="J13" s="23" t="n"/>
      <c r="K13" s="23" t="inlineStr">
        <is>
          <t>Maxibridge Female Line 6_01356</t>
        </is>
      </c>
      <c r="L13" s="23" t="n"/>
      <c r="M13" s="23" t="inlineStr">
        <is>
          <t>Microbridge_Clip insert_541289 (01655)</t>
        </is>
      </c>
      <c r="N13" s="23" t="inlineStr">
        <is>
          <t>MCC Female 180°_Camera testing machine  intergrated in the EOL</t>
        </is>
      </c>
      <c r="O13" s="23" t="inlineStr">
        <is>
          <t>MCC Male 180°_Camera testing machine_741070  intergrated in the EOL</t>
        </is>
      </c>
      <c r="P13" s="23" t="n"/>
      <c r="Q13" s="23" t="n"/>
      <c r="R13" s="23" t="n"/>
      <c r="S13" s="23" t="inlineStr">
        <is>
          <t>Power connector_Packing machine_01729</t>
        </is>
      </c>
      <c r="T13" s="23" t="inlineStr">
        <is>
          <t>RWB Female_EOL _01596</t>
        </is>
      </c>
      <c r="U13" s="23" t="inlineStr">
        <is>
          <t xml:space="preserve">RWB Male_Eberhard 4_Contact insert MES 602_02137 </t>
        </is>
      </c>
    </row>
    <row r="14" ht="21" customHeight="1">
      <c r="A14" s="28" t="n"/>
      <c r="B14" s="23" t="n"/>
      <c r="C14" s="28" t="n"/>
      <c r="D14" s="28" t="inlineStr">
        <is>
          <t>INFORMATIQUE</t>
        </is>
      </c>
      <c r="E14" s="28" t="n"/>
      <c r="F14" s="23" t="inlineStr">
        <is>
          <t>MCB_Male</t>
        </is>
      </c>
      <c r="H14" s="23" t="inlineStr">
        <is>
          <t>Crimp Center 36S_00887</t>
        </is>
      </c>
      <c r="I14" s="23" t="inlineStr">
        <is>
          <t>Optimel SMC B2B B_541194</t>
        </is>
      </c>
      <c r="J14" s="23" t="n"/>
      <c r="K14" s="23" t="inlineStr">
        <is>
          <t>Maxibridge Female Line 6_Printing CRTB1J3G</t>
        </is>
      </c>
      <c r="L14" s="23" t="n"/>
      <c r="M14" s="23" t="inlineStr">
        <is>
          <t>Microbridge_feed cut Clip _541296 (01654)</t>
        </is>
      </c>
      <c r="N14" s="23" t="n"/>
      <c r="O14" s="23" t="n"/>
      <c r="P14" s="23" t="n"/>
      <c r="Q14" s="23" t="n"/>
      <c r="R14" s="23" t="n"/>
      <c r="S14" s="23" t="inlineStr">
        <is>
          <t>Power Connector_Printing_CRTSC1H2E_00613</t>
        </is>
      </c>
      <c r="T14" s="23" t="inlineStr">
        <is>
          <t>RWB Female_Packing BK-05 A_01538 intergrated in the EOL</t>
        </is>
      </c>
      <c r="U14" s="23" t="inlineStr">
        <is>
          <t>RWB Male_Packing machine  BK-05_582150 (01757)</t>
        </is>
      </c>
    </row>
    <row r="15" ht="21" customHeight="1">
      <c r="A15" s="28" t="n"/>
      <c r="B15" s="23" t="n"/>
      <c r="C15" s="28" t="n"/>
      <c r="D15" s="28" t="inlineStr">
        <is>
          <t>PARAMETRES</t>
        </is>
      </c>
      <c r="E15" s="28" t="n"/>
      <c r="F15" s="23" t="inlineStr">
        <is>
          <t>MCC_180_Female</t>
        </is>
      </c>
      <c r="H15" s="23" t="inlineStr">
        <is>
          <t>Junquan cutting and stripping_02319</t>
        </is>
      </c>
      <c r="I15" s="23" t="inlineStr">
        <is>
          <t>SMC Board to Board Adaptor II A_541198 (01744)</t>
        </is>
      </c>
      <c r="J15" s="23" t="n"/>
      <c r="K15" s="23" t="inlineStr">
        <is>
          <t>Maxibridge Female Line 7_01357</t>
        </is>
      </c>
      <c r="L15" s="23" t="n"/>
      <c r="M15" s="23" t="inlineStr">
        <is>
          <t>Microbridge_Seal machine_01616</t>
        </is>
      </c>
      <c r="N15" s="23" t="n"/>
      <c r="O15" s="23" t="n"/>
      <c r="P15" s="23" t="n"/>
      <c r="Q15" s="23" t="n"/>
      <c r="R15" s="23" t="n"/>
      <c r="S15" s="23" t="inlineStr">
        <is>
          <t>Power Connector_Universal OVEN XU343_01736</t>
        </is>
      </c>
      <c r="T15" s="23" t="inlineStr">
        <is>
          <t>RWB Female_Printing CRACTB9C4H_01443  intergrated in the EOL</t>
        </is>
      </c>
      <c r="U15" s="23" t="n"/>
    </row>
    <row r="16" ht="21" customHeight="1">
      <c r="A16" s="28" t="n"/>
      <c r="B16" s="23" t="n"/>
      <c r="C16" s="28" t="n"/>
      <c r="D16" s="28" t="inlineStr">
        <is>
          <t>MAINTENANCE NIVEAU 1</t>
        </is>
      </c>
      <c r="E16" s="28" t="n"/>
      <c r="F16" s="23" t="inlineStr">
        <is>
          <t>MCC_180_Male</t>
        </is>
      </c>
      <c r="G16" s="23" t="n"/>
      <c r="H16" s="23" t="inlineStr">
        <is>
          <t>Ink Jet KGK CCS-R BLUE_CRT4A7I9I</t>
        </is>
      </c>
      <c r="I16" s="23" t="inlineStr">
        <is>
          <t>SMC Board to Board Adaptor II B_541260 (01772)</t>
        </is>
      </c>
      <c r="J16" s="23" t="n"/>
      <c r="K16" s="23" t="inlineStr">
        <is>
          <t>Maxibridge Female Line 7_Printing CRTBIJ3F</t>
        </is>
      </c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</row>
    <row r="17" ht="21" customHeight="1">
      <c r="A17" s="28" t="n"/>
      <c r="B17" s="23" t="n"/>
      <c r="C17" s="28" t="n"/>
      <c r="D17" s="28" t="inlineStr">
        <is>
          <t>SETUP APPLICATEUR</t>
        </is>
      </c>
      <c r="E17" s="28" t="n"/>
      <c r="F17" s="23" t="inlineStr">
        <is>
          <t>MCC_90_Female</t>
        </is>
      </c>
      <c r="G17" s="23" t="n"/>
      <c r="H17" t="inlineStr">
        <is>
          <t>Ink Jet KGK CCS-R BLUE_CRTSC1E6B</t>
        </is>
      </c>
    </row>
    <row r="18" ht="21" customHeight="1">
      <c r="A18" s="28" t="n"/>
      <c r="B18" s="23" t="n"/>
      <c r="C18" s="28" t="n"/>
      <c r="D18" s="28" t="inlineStr">
        <is>
          <t>CALIBRATION</t>
        </is>
      </c>
      <c r="E18" s="28" t="n"/>
      <c r="F18" s="23" t="inlineStr">
        <is>
          <t>MCC_90_Male</t>
        </is>
      </c>
      <c r="G18" s="23" t="n"/>
      <c r="H18" t="inlineStr">
        <is>
          <t>KMT-20_00252</t>
        </is>
      </c>
    </row>
    <row r="19" ht="21" customHeight="1">
      <c r="A19" s="28" t="n"/>
      <c r="B19" s="23" t="n"/>
      <c r="C19" s="28" t="n"/>
      <c r="D19" s="28" t="n"/>
      <c r="E19" s="28" t="n"/>
      <c r="F19" s="23" t="inlineStr">
        <is>
          <t>MCC_90_Male_Female</t>
        </is>
      </c>
      <c r="G19" s="23" t="n"/>
      <c r="H19" t="inlineStr">
        <is>
          <t>KMT-20_00429</t>
        </is>
      </c>
    </row>
    <row r="20" ht="21" customHeight="1">
      <c r="A20" s="28" t="n"/>
      <c r="B20" s="23" t="n"/>
      <c r="C20" s="28" t="n"/>
      <c r="D20" s="28" t="n"/>
      <c r="E20" s="28" t="n"/>
      <c r="F20" s="23" t="inlineStr">
        <is>
          <t>Power_Connector</t>
        </is>
      </c>
      <c r="G20" s="23" t="n"/>
      <c r="H20" t="inlineStr">
        <is>
          <t>KOMAX 20 CABLE_00927</t>
        </is>
      </c>
      <c r="K20" s="23" t="n"/>
    </row>
    <row r="21" ht="21" customHeight="1">
      <c r="A21" s="28" t="n"/>
      <c r="B21" s="23" t="n"/>
      <c r="C21" s="28" t="n"/>
      <c r="D21" s="28" t="n"/>
      <c r="E21" s="28" t="n"/>
      <c r="F21" s="23" t="inlineStr">
        <is>
          <t>RWB_Female</t>
        </is>
      </c>
      <c r="G21" s="23" t="n"/>
      <c r="H21" t="inlineStr">
        <is>
          <t>AUTOMATIC CUTTING AND STRIPPING_02230</t>
        </is>
      </c>
      <c r="K21" s="23" t="n"/>
    </row>
    <row r="22" ht="21" customHeight="1">
      <c r="A22" s="28" t="n"/>
      <c r="B22" s="23" t="n"/>
      <c r="C22" s="28" t="n"/>
      <c r="D22" s="28" t="n"/>
      <c r="E22" s="28" t="n"/>
      <c r="F22" s="23" t="inlineStr">
        <is>
          <t>RWB Male</t>
        </is>
      </c>
      <c r="G22" s="23" t="n"/>
      <c r="H22" t="inlineStr">
        <is>
          <t>Cross Section Monitor_CS-05W_01920</t>
        </is>
      </c>
      <c r="K22" s="23" t="n"/>
    </row>
    <row r="23" ht="21" customHeight="1">
      <c r="A23" s="28" t="n"/>
      <c r="B23" s="23" t="n"/>
      <c r="C23" s="28" t="n"/>
      <c r="D23" s="28" t="n"/>
      <c r="E23" s="28" t="n"/>
      <c r="F23" s="23" t="n"/>
      <c r="G23" s="23" t="n"/>
      <c r="H23" t="inlineStr">
        <is>
          <t>Roller Printing</t>
        </is>
      </c>
      <c r="K23" s="23" t="n"/>
    </row>
    <row r="24" ht="21" customHeight="1">
      <c r="H24" t="inlineStr">
        <is>
          <t>Test Stand SJH 500_50246</t>
        </is>
      </c>
      <c r="K24" s="23" t="n"/>
    </row>
    <row r="25" ht="21" customHeight="1">
      <c r="H25" t="inlineStr">
        <is>
          <t>Tube Cutting Machine_02404</t>
        </is>
      </c>
      <c r="K25" s="23" t="n"/>
    </row>
    <row r="26" ht="21" customHeight="1">
      <c r="H26" t="inlineStr">
        <is>
          <t>UniStrip  2015_01316</t>
        </is>
      </c>
      <c r="K26" s="23" t="n"/>
    </row>
    <row r="27" ht="21" customHeight="1">
      <c r="H27" t="inlineStr">
        <is>
          <t>WDT CABLE_00928</t>
        </is>
      </c>
      <c r="K27" s="23" t="n"/>
    </row>
    <row r="28">
      <c r="H28" t="inlineStr">
        <is>
          <t>WDT CABLE_50238</t>
        </is>
      </c>
    </row>
    <row r="29">
      <c r="H29" t="inlineStr">
        <is>
          <t>Wele Microbridge Automet 90°_02288</t>
        </is>
      </c>
    </row>
    <row r="30">
      <c r="H30" t="inlineStr">
        <is>
          <t>Wele Minibridge Automet 180°_01587</t>
        </is>
      </c>
    </row>
    <row r="31">
      <c r="H31" t="inlineStr">
        <is>
          <t>Wele Minibridge Automet 180°_01780</t>
        </is>
      </c>
    </row>
    <row r="32">
      <c r="H32" t="inlineStr">
        <is>
          <t>Wele Minibridge Automet 180°_02237</t>
        </is>
      </c>
    </row>
    <row r="33">
      <c r="H33" t="inlineStr">
        <is>
          <t>Wele Minibridge Automet 90°_01586</t>
        </is>
      </c>
    </row>
    <row r="34">
      <c r="H34" t="inlineStr">
        <is>
          <t>Wele Minibridge Automet 90°_01781</t>
        </is>
      </c>
    </row>
    <row r="35">
      <c r="H35" t="inlineStr">
        <is>
          <t>Wele Minibridge Automet 90°_01894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4">
    <mergeCell ref="A1:B2"/>
    <mergeCell ref="A4:N4"/>
    <mergeCell ref="C2:L2"/>
    <mergeCell ref="C1:L1"/>
  </mergeCells>
  <conditionalFormatting sqref="B9">
    <cfRule type="cellIs" priority="4" operator="equal" dxfId="0">
      <formula>"Terminer"</formula>
    </cfRule>
  </conditionalFormatting>
  <conditionalFormatting sqref="B10">
    <cfRule type="cellIs" priority="2" operator="equal" dxfId="1">
      <formula>"En cours"</formula>
    </cfRule>
  </conditionalFormatting>
  <conditionalFormatting sqref="C9:D9">
    <cfRule type="cellIs" priority="3" operator="equal" dxfId="0">
      <formula>"Terminer"</formula>
    </cfRule>
  </conditionalFormatting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Senouni, Khadija</dc:creator>
  <dcterms:created xmlns:dcterms="http://purl.org/dc/terms/" xmlns:xsi="http://www.w3.org/2001/XMLSchema-instance" xsi:type="dcterms:W3CDTF">2024-12-05T14:11:06Z</dcterms:created>
  <dcterms:modified xmlns:dcterms="http://purl.org/dc/terms/" xmlns:xsi="http://www.w3.org/2001/XMLSchema-instance" xsi:type="dcterms:W3CDTF">2026-07-24T10:47:33Z</dcterms:modified>
  <cp:lastModifiedBy>Ait Chaib, Othman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0x010100D125863E5F8E384B9ACE568C83A00093</vt:lpwstr>
  </property>
</Properties>
</file>