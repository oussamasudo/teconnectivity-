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360-my.sharepoint.com/personal/othman_aitchaib_te_com/Documents/Desktop/Thor Project/Thor - Maintenance/Break Downs/"/>
    </mc:Choice>
  </mc:AlternateContent>
  <xr:revisionPtr revIDLastSave="54" documentId="13_ncr:1_{FE0E2C59-DE5E-4643-99D9-1E1920933B2A}" xr6:coauthVersionLast="47" xr6:coauthVersionMax="47" xr10:uidLastSave="{77891241-F74B-4A20-97A8-F2FC711EBA3F}"/>
  <bookViews>
    <workbookView xWindow="-110" yWindow="-110" windowWidth="19420" windowHeight="10300" tabRatio="758" xr2:uid="{CD570E8C-1AD9-4EAB-A05A-6D3F7DA4BBF0}"/>
  </bookViews>
  <sheets>
    <sheet name="Recording" sheetId="3" r:id="rId1"/>
    <sheet name="Data analysis" sheetId="6" state="hidden" r:id="rId2"/>
    <sheet name="Action plan" sheetId="1" r:id="rId3"/>
    <sheet name="Donnée" sheetId="13" state="hidden" r:id="rId4"/>
  </sheets>
  <externalReferences>
    <externalReference r:id="rId5"/>
  </externalReferences>
  <definedNames>
    <definedName name="CCAO">#REF!</definedName>
    <definedName name="dia">#N/A</definedName>
    <definedName name="dial">#N/A</definedName>
    <definedName name="Kontr">#N/A</definedName>
    <definedName name="M">#N/A</definedName>
    <definedName name="NajdiaOznač">#N/A</definedName>
    <definedName name="NajdiaVymaž">#N/A</definedName>
    <definedName name="RESOLVERS">#REF!</definedName>
    <definedName name="TB">#REF!</definedName>
    <definedName name="TEMINAL_BLOC">#REF!</definedName>
    <definedName name="TERMINAL_BLOC">#REF!</definedName>
    <definedName name="TERMINAL8BLOC">#REF!</definedName>
    <definedName name="tisk" localSheetId="3">[1]!tisk</definedName>
    <definedName name="tisk">[1]!tisk</definedName>
    <definedName name="tisk_druhé_strany" localSheetId="3">[1]!tisk_druhé_strany</definedName>
    <definedName name="tisk_druhé_strany">[1]!tisk_druhé_strany</definedName>
    <definedName name="ZadáníCmk">#N/A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4" i="3" l="1"/>
  <c r="B45" i="3"/>
  <c r="B6" i="3"/>
  <c r="B46" i="3"/>
  <c r="B47" i="3"/>
  <c r="B48" i="3"/>
  <c r="B49" i="3"/>
  <c r="B50" i="3"/>
  <c r="B51" i="3"/>
  <c r="B19" i="3"/>
  <c r="B20" i="3"/>
  <c r="B21" i="3"/>
  <c r="B22" i="3"/>
  <c r="B23" i="3"/>
  <c r="B7" i="3"/>
  <c r="B24" i="3"/>
  <c r="B25" i="3"/>
  <c r="B26" i="3"/>
  <c r="B8" i="3"/>
  <c r="B9" i="3"/>
  <c r="B27" i="3"/>
  <c r="B52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10" i="3"/>
  <c r="B11" i="3"/>
  <c r="B12" i="3"/>
  <c r="B13" i="3"/>
  <c r="B14" i="3"/>
  <c r="B15" i="3"/>
  <c r="B16" i="3"/>
  <c r="B41" i="3"/>
  <c r="B17" i="3"/>
  <c r="B18" i="3"/>
  <c r="B53" i="3"/>
  <c r="B42" i="3"/>
  <c r="B43" i="3"/>
  <c r="B4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C67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</calcChain>
</file>

<file path=xl/sharedStrings.xml><?xml version="1.0" encoding="utf-8"?>
<sst xmlns="http://schemas.openxmlformats.org/spreadsheetml/2006/main" count="674" uniqueCount="310">
  <si>
    <t>Industrial BU - Tangier - Morocco</t>
  </si>
  <si>
    <t>P02_VS1 - FOR136</t>
  </si>
  <si>
    <t>Rev</t>
  </si>
  <si>
    <t>Suivi de la Maintenance Corrective - THOR</t>
  </si>
  <si>
    <t>Date</t>
  </si>
  <si>
    <t>Enregistrement des données</t>
  </si>
  <si>
    <t xml:space="preserve">Date </t>
  </si>
  <si>
    <t>Semaine</t>
  </si>
  <si>
    <t>Mois</t>
  </si>
  <si>
    <t>Shift</t>
  </si>
  <si>
    <t>PROJET</t>
  </si>
  <si>
    <t>Machine</t>
  </si>
  <si>
    <t>Outil 
(Applicateur, Test, Tableau, Press manuelle)</t>
  </si>
  <si>
    <t>Type d'intervention</t>
  </si>
  <si>
    <t>Intervenant</t>
  </si>
  <si>
    <t>Durée de l'Arrêt
(min)</t>
  </si>
  <si>
    <t>Problème</t>
  </si>
  <si>
    <t>Détails de l'intervention</t>
  </si>
  <si>
    <t>Status Intervention</t>
  </si>
  <si>
    <t xml:space="preserve">Risque de Sécurité (après l'intervention Maintenance) </t>
  </si>
  <si>
    <t xml:space="preserve">Suivi de la Maintenance Corrective  </t>
  </si>
  <si>
    <t>Analyse des données</t>
  </si>
  <si>
    <t>(All)</t>
  </si>
  <si>
    <t>Row Labels</t>
  </si>
  <si>
    <t>Sum of Durée de l'Arrêt
(min)</t>
  </si>
  <si>
    <t>%</t>
  </si>
  <si>
    <t>BAM</t>
  </si>
  <si>
    <t>M4/6</t>
  </si>
  <si>
    <t xml:space="preserve">Ensacheuse Automatique </t>
  </si>
  <si>
    <t>SNK 5</t>
  </si>
  <si>
    <t>Test</t>
  </si>
  <si>
    <t>Komax Gamma</t>
  </si>
  <si>
    <t>EcoCut</t>
  </si>
  <si>
    <t>G-PRESS de Sertissage 2 TE</t>
  </si>
  <si>
    <t>Press Manuel</t>
  </si>
  <si>
    <t>ZS6</t>
  </si>
  <si>
    <t>G-Press</t>
  </si>
  <si>
    <t>HR Dénudeuse 4 fils</t>
  </si>
  <si>
    <t>Winding Machine Stator K11666</t>
  </si>
  <si>
    <t>Applicateur</t>
  </si>
  <si>
    <t>G-PRESS de Sertissage 3 TE</t>
  </si>
  <si>
    <t>Cutting Rail Automatique</t>
  </si>
  <si>
    <t>Denudeuse</t>
  </si>
  <si>
    <t xml:space="preserve">HR Connector assembly </t>
  </si>
  <si>
    <t xml:space="preserve">Alpha Jet Noir </t>
  </si>
  <si>
    <t>Machine de sertissage</t>
  </si>
  <si>
    <t>ZK2.5</t>
  </si>
  <si>
    <t>BOY 3</t>
  </si>
  <si>
    <t>Komax Alpha</t>
  </si>
  <si>
    <t xml:space="preserve">RC </t>
  </si>
  <si>
    <t>Ultrasonic 4</t>
  </si>
  <si>
    <t>Ultrasonic 1</t>
  </si>
  <si>
    <t>Winding Machine Rotor K06677</t>
  </si>
  <si>
    <t>Machine de dénudage</t>
  </si>
  <si>
    <t>Test 2 : MARTA 2-2</t>
  </si>
  <si>
    <t xml:space="preserve">Power Strip 1 </t>
  </si>
  <si>
    <t>ZS4</t>
  </si>
  <si>
    <t>SNK 6</t>
  </si>
  <si>
    <t>BAZ1</t>
  </si>
  <si>
    <t>G-PRESS de Sertissage 4-AMP</t>
  </si>
  <si>
    <t xml:space="preserve">Laser Marking System </t>
  </si>
  <si>
    <t>HR Gpress StripCrimp</t>
  </si>
  <si>
    <t>Test 2 : MARTA 4-1</t>
  </si>
  <si>
    <t>SNK 2</t>
  </si>
  <si>
    <t>G-PRESS de Sertissage 1 TE</t>
  </si>
  <si>
    <t>BOY 5</t>
  </si>
  <si>
    <t>Power Strip 2</t>
  </si>
  <si>
    <t>(blank)</t>
  </si>
  <si>
    <t>Grand Total</t>
  </si>
  <si>
    <t>Plan d'action</t>
  </si>
  <si>
    <t>Note: (*) définir une durée de surveillance de réapparition du problème, si le problème ne réapparét pas donc l'action corrective est efficace, sinon refaire l'analyse.</t>
  </si>
  <si>
    <t>Mois / Année</t>
  </si>
  <si>
    <t xml:space="preserve">Machine </t>
  </si>
  <si>
    <t>Description du problème</t>
  </si>
  <si>
    <t>Analyse des cause</t>
  </si>
  <si>
    <t>Actions correctives</t>
  </si>
  <si>
    <t>Responsables</t>
  </si>
  <si>
    <t>Date prévue de réalisation</t>
  </si>
  <si>
    <t>Date de réalisation</t>
  </si>
  <si>
    <t>Statut de l'action</t>
  </si>
  <si>
    <t>Efficacité *</t>
  </si>
  <si>
    <t>Cause d'occurance:</t>
  </si>
  <si>
    <t>Cause de non-détection</t>
  </si>
  <si>
    <t>Status intervention</t>
  </si>
  <si>
    <t>type d'arrêt</t>
  </si>
  <si>
    <t>TYPE D'INTERVENTION</t>
  </si>
  <si>
    <t>Projet</t>
  </si>
  <si>
    <t>Cable</t>
  </si>
  <si>
    <t>BTB</t>
  </si>
  <si>
    <t>IDC</t>
  </si>
  <si>
    <t>Maxibridge_Female</t>
  </si>
  <si>
    <t>MCB_Female</t>
  </si>
  <si>
    <t>MCB_Male</t>
  </si>
  <si>
    <t>MCC_180_Female</t>
  </si>
  <si>
    <t>MCC_180_Male</t>
  </si>
  <si>
    <t>MCC_90_Female</t>
  </si>
  <si>
    <t>MCC_90_Male</t>
  </si>
  <si>
    <t>MCC_90_Male_Female</t>
  </si>
  <si>
    <t>Power_Connector</t>
  </si>
  <si>
    <t>RWB_Female</t>
  </si>
  <si>
    <t>RWB Male</t>
  </si>
  <si>
    <t>BEN DAOUD MOHAMED</t>
  </si>
  <si>
    <t>Terminer</t>
  </si>
  <si>
    <t>Maintenance</t>
  </si>
  <si>
    <t>ELECTRIQUE</t>
  </si>
  <si>
    <t>6h-14h</t>
  </si>
  <si>
    <t>AIR WIRE STRIPPER_00465</t>
  </si>
  <si>
    <t>Assembly board to board II A_501170</t>
  </si>
  <si>
    <t>IDC_Packing machine_01752</t>
  </si>
  <si>
    <t>Maxibridge Female Line 4_00865</t>
  </si>
  <si>
    <t>Microbridge Female_Camera inspection_741159 (02252)</t>
  </si>
  <si>
    <t>MCB Male_Packing  BK-05_582296</t>
  </si>
  <si>
    <t>MCC 180 Female_DRCB_Eberhard 5_582134 (01767)</t>
  </si>
  <si>
    <t>MCC 180 Male EOL_01833</t>
  </si>
  <si>
    <t>MCC 90 Female_Eberhard7_582155</t>
  </si>
  <si>
    <t>MCC 90 Male_Eberhard 10_582156</t>
  </si>
  <si>
    <t>MCC 90_Printing machine_02213</t>
  </si>
  <si>
    <t>Clip Insert M/C _01766</t>
  </si>
  <si>
    <t>Cutting Shield female(reeling system)_51664</t>
  </si>
  <si>
    <t>Cutting Shield Female_02163</t>
  </si>
  <si>
    <t>NAOUFAL MAFHOUM</t>
  </si>
  <si>
    <t>En cours</t>
  </si>
  <si>
    <t>Production</t>
  </si>
  <si>
    <t>MECANIQUE</t>
  </si>
  <si>
    <t>14h-22h</t>
  </si>
  <si>
    <t>AIR WIRE STRIPPER_00466</t>
  </si>
  <si>
    <t>Assembly board to board II B_501595</t>
  </si>
  <si>
    <t>Maxibridge Female Line 4_Printing CRT4A7I9J</t>
  </si>
  <si>
    <t>Microbridge Female_Eberhard8_582313 (02250)</t>
  </si>
  <si>
    <t>MCB Male_Universal OVEN XUE490_02344</t>
  </si>
  <si>
    <t>MCC 180 Female_EOL neunman machine_582188 (02357)</t>
  </si>
  <si>
    <t>MCC 180 Male_DRCQ_Eberhard 6_582135 (01771)</t>
  </si>
  <si>
    <t>MCC Female 90°_Camera inspection_741200</t>
  </si>
  <si>
    <t>MCC Male 90°_Camera Inspection_741068</t>
  </si>
  <si>
    <t>MCC 90°_Packing machine_02211 (241147)</t>
  </si>
  <si>
    <t>Cutting Contact Siemens_541174 (02346)</t>
  </si>
  <si>
    <t>RWB Female_Camera testing machine_741061 (01755) intergrated in the EOL</t>
  </si>
  <si>
    <t>Feeder system for maunal cutting sheild_541070</t>
  </si>
  <si>
    <t>PNEUMATIQUE</t>
  </si>
  <si>
    <t>22h-6h</t>
  </si>
  <si>
    <t>ASSY KOSAL CONTACT_00163</t>
  </si>
  <si>
    <t>BTB_Camera inspection_741112</t>
  </si>
  <si>
    <t>Maxibridge Female Line 5_01209</t>
  </si>
  <si>
    <t>Microbridge Male_Camera inspection_741160</t>
  </si>
  <si>
    <t>MCC 180 Female_Printing CRACTB9B3E_01332 intergrated in the EOL</t>
  </si>
  <si>
    <t>MCC 180 Male_Packing machine intergrated in the EOL</t>
  </si>
  <si>
    <t>Maxibridge camera Inspection_741156 (01372)</t>
  </si>
  <si>
    <t>RWB Female_Eberhard_Contact assembly machine  MES 529_01754</t>
  </si>
  <si>
    <t>KGK CCS-R 50 Micron_01832</t>
  </si>
  <si>
    <t>HYDRAULIQUE</t>
  </si>
  <si>
    <t>Computerized wire cutting and Stripping_01412</t>
  </si>
  <si>
    <t>E-Test Leshin Lx650_LX 164235</t>
  </si>
  <si>
    <t>Maxibridge Female Line 5_Printing CRTB7F3J</t>
  </si>
  <si>
    <t>Microbridge Male_Eberhard9_Contact insert_582297</t>
  </si>
  <si>
    <t>MCC 180° Female_Packing machine intergrated in the EOL</t>
  </si>
  <si>
    <t>MCC 180 Male_Printing machine CRACTSC2B0D_02054 intergrated in the EOL</t>
  </si>
  <si>
    <t>Maxibridge Seal machine_01725</t>
  </si>
  <si>
    <t>RWB Female_Eberhard_Contact assembly machine MES 545_01758</t>
  </si>
  <si>
    <t>RWB Male_Camera inspection_741136 (01756)</t>
  </si>
  <si>
    <t>ELECTRONIQUE</t>
  </si>
  <si>
    <t>Junquan cutting and stripping_00610</t>
  </si>
  <si>
    <t>Optimel Ferite_01530</t>
  </si>
  <si>
    <t>Maxibridge Female Line 6_01356</t>
  </si>
  <si>
    <t>Microbridge_Clip insert_541289 (01655)</t>
  </si>
  <si>
    <t>MCC Female 180°_Camera testing machine  intergrated in the EOL</t>
  </si>
  <si>
    <t>MCC Male 180°_Camera testing machine_741070  intergrated in the EOL</t>
  </si>
  <si>
    <t>Power connector_Packing machine_01729</t>
  </si>
  <si>
    <t>RWB Female_EOL _01596</t>
  </si>
  <si>
    <t xml:space="preserve">RWB Male_Eberhard 4_Contact insert MES 602_02137 </t>
  </si>
  <si>
    <t>INFORMATIQUE</t>
  </si>
  <si>
    <t>Crimp Center 36S_00887</t>
  </si>
  <si>
    <t>Optimel SMC B2B B_541194</t>
  </si>
  <si>
    <t>Maxibridge Female Line 6_Printing CRTB1J3G</t>
  </si>
  <si>
    <t>Microbridge_feed cut Clip _541296 (01654)</t>
  </si>
  <si>
    <t>Power Connector_Printing_CRTSC1H2E_00613</t>
  </si>
  <si>
    <t>RWB Female_Packing BK-05 A_01538 intergrated in the EOL</t>
  </si>
  <si>
    <t>RWB Male_Packing machine  BK-05_582150 (01757)</t>
  </si>
  <si>
    <t>PARAMETRES</t>
  </si>
  <si>
    <t>Junquan cutting and stripping_02319</t>
  </si>
  <si>
    <t>SMC Board to Board Adaptor II A_541198 (01744)</t>
  </si>
  <si>
    <t>Maxibridge Female Line 7_01357</t>
  </si>
  <si>
    <t>Microbridge_Seal machine_01616</t>
  </si>
  <si>
    <t>Power Connector_Universal OVEN XU343_01736</t>
  </si>
  <si>
    <t>RWB Female_Printing CRACTB9C4H_01443  intergrated in the EOL</t>
  </si>
  <si>
    <t>MAINTENANCE NIVEAU 1</t>
  </si>
  <si>
    <t>Ink Jet KGK CCS-R BLUE_CRT4A7I9I</t>
  </si>
  <si>
    <t>SMC Board to Board Adaptor II B_541260 (01772)</t>
  </si>
  <si>
    <t>Maxibridge Female Line 7_Printing CRTBIJ3F</t>
  </si>
  <si>
    <t>SETUP APPLICATEUR</t>
  </si>
  <si>
    <t>Ink Jet KGK CCS-R BLUE_CRTSC1E6B</t>
  </si>
  <si>
    <t>CALIBRATION</t>
  </si>
  <si>
    <t>KMT-20_00252</t>
  </si>
  <si>
    <t>KMT-20_00429</t>
  </si>
  <si>
    <t>KOMAX 20 CABLE_00927</t>
  </si>
  <si>
    <t>AUTOMATIC CUTTING AND STRIPPING_02230</t>
  </si>
  <si>
    <t>Cross Section Monitor_CS-05W_01920</t>
  </si>
  <si>
    <t>Roller Printing</t>
  </si>
  <si>
    <t>Test Stand SJH 500_50246</t>
  </si>
  <si>
    <t>Tube Cutting Machine_02404</t>
  </si>
  <si>
    <t>UniStrip  2015_01316</t>
  </si>
  <si>
    <t>WDT CABLE_00928</t>
  </si>
  <si>
    <t>WDT CABLE_50238</t>
  </si>
  <si>
    <t>Wele Microbridge Automet 90°_02288</t>
  </si>
  <si>
    <t>Wele Minibridge Automet 180°_01587</t>
  </si>
  <si>
    <t>Wele Minibridge Automet 180°_01780</t>
  </si>
  <si>
    <t>Wele Minibridge Automet 180°_02237</t>
  </si>
  <si>
    <t>Wele Minibridge Automet 90°_01586</t>
  </si>
  <si>
    <t>Wele Minibridge Automet 90°_01781</t>
  </si>
  <si>
    <t>Wele Minibridge Automet 90°_01894</t>
  </si>
  <si>
    <t>Juin</t>
  </si>
  <si>
    <t>Printing</t>
  </si>
  <si>
    <t>RS</t>
  </si>
  <si>
    <t>Ligne5</t>
  </si>
  <si>
    <t>Manguage non centré</t>
  </si>
  <si>
    <t>Courroie NOK</t>
  </si>
  <si>
    <t>Ajustement partie du tapis</t>
  </si>
  <si>
    <t>Clip assembly</t>
  </si>
  <si>
    <t>Assemblage par clip d'un seul coté</t>
  </si>
  <si>
    <t>Blocage de machine</t>
  </si>
  <si>
    <t>Macine printing arret problem solvent empty</t>
  </si>
  <si>
    <t>Problème du courroie NOK</t>
  </si>
  <si>
    <t>Ajustement tandeur courroie</t>
  </si>
  <si>
    <t>Presse</t>
  </si>
  <si>
    <t>Variation de mesure</t>
  </si>
  <si>
    <t>Assemblage</t>
  </si>
  <si>
    <t>Assemblage de machine</t>
  </si>
  <si>
    <t>Nettoyage Tools et vérification</t>
  </si>
  <si>
    <t>Changement du courroie du convoyeur</t>
  </si>
  <si>
    <t>Changement du courroie du convoyeur et variation convoyeur</t>
  </si>
  <si>
    <t>pb machine contact assembly jig coince dans la machine</t>
  </si>
  <si>
    <t>Changemant de Setup</t>
  </si>
  <si>
    <t>Changement de référance</t>
  </si>
  <si>
    <t>Démontage Tools et ajustemant guide du contact</t>
  </si>
  <si>
    <t>Camera testing</t>
  </si>
  <si>
    <t>Réarmement test</t>
  </si>
  <si>
    <t>pb machine contact "contact défome"</t>
  </si>
  <si>
    <t>Assembly contact</t>
  </si>
  <si>
    <t>pb contact</t>
  </si>
  <si>
    <t>Réarmement sécuritté et nettoyage Tools</t>
  </si>
  <si>
    <t>le contact coince dans la machine</t>
  </si>
  <si>
    <t>Changement Tools</t>
  </si>
  <si>
    <t>démantage Tools et nettoyage déchets, Ajustemant position feeding</t>
  </si>
  <si>
    <t>marquage non centré</t>
  </si>
  <si>
    <t>Ajustement position marquage</t>
  </si>
  <si>
    <t>Variation dummy "la pièce a marquage inverse la machine met "OK""</t>
  </si>
  <si>
    <t>Serrage camera</t>
  </si>
  <si>
    <t>Conact assembly</t>
  </si>
  <si>
    <t>Changemant de part "setup"</t>
  </si>
  <si>
    <t>Changement part</t>
  </si>
  <si>
    <t>Blocage de la machine</t>
  </si>
  <si>
    <t>Reset alarme</t>
  </si>
  <si>
    <t>Changement de part "setup"</t>
  </si>
  <si>
    <t>Changement de part</t>
  </si>
  <si>
    <t>Painting</t>
  </si>
  <si>
    <t>Variation dummy "la machine me les pièces OK sans le scrap"</t>
  </si>
  <si>
    <t>Remplissage soulvent</t>
  </si>
  <si>
    <t>La machine blocks</t>
  </si>
  <si>
    <t>The a scrachers in housing and the camera does not show him "housing endomage"</t>
  </si>
  <si>
    <t>Ajustement guide d'insertion</t>
  </si>
  <si>
    <t>pb de contact défome et marque</t>
  </si>
  <si>
    <t>Changement setup</t>
  </si>
  <si>
    <t>setup all machine</t>
  </si>
  <si>
    <t>blocage de connecteur dans la machine</t>
  </si>
  <si>
    <t>Débloquage de connecteur et changement de part</t>
  </si>
  <si>
    <t>pb Assemblage contact incliné</t>
  </si>
  <si>
    <t>Démantage Tool, nettoyage déchets, réglage position feeding</t>
  </si>
  <si>
    <t>problème contact inclinée</t>
  </si>
  <si>
    <t>Réglage position feeding</t>
  </si>
  <si>
    <t>Contact déformé</t>
  </si>
  <si>
    <t>Démontage tool ajustement guide contact, réglage position feeding</t>
  </si>
  <si>
    <t>printing</t>
  </si>
  <si>
    <t>Fixation camera</t>
  </si>
  <si>
    <t>Blocage dans la machine contact assembly</t>
  </si>
  <si>
    <t>Débloquage contact et régulation</t>
  </si>
  <si>
    <t>ALL</t>
  </si>
  <si>
    <t>Il n y a pas d'éclairage "coupure électrique de la port du facility"</t>
  </si>
  <si>
    <t>Réarmement disjoncteur, Nettoyage des machines, Nettoyage des têtes de marquage poue les machines de marquage</t>
  </si>
  <si>
    <t>Housing assembly</t>
  </si>
  <si>
    <t>Monété mal installé</t>
  </si>
  <si>
    <t>Changement jig et ajustemant setup</t>
  </si>
  <si>
    <t>Contact déforme par la machine contact assembly</t>
  </si>
  <si>
    <t>Réglage pas de setup</t>
  </si>
  <si>
    <t>pb de marquage des contact</t>
  </si>
  <si>
    <t>Nettoyage déchets</t>
  </si>
  <si>
    <t>Camera testing NOK</t>
  </si>
  <si>
    <t>Ajustement posage</t>
  </si>
  <si>
    <t>Blocage de la machine houssing assembly</t>
  </si>
  <si>
    <t>Démontage de tools, vérification, nettoyage, montage et test</t>
  </si>
  <si>
    <t>3 machines du projet BTB</t>
  </si>
  <si>
    <t>Changement de setup</t>
  </si>
  <si>
    <t>Changement Part</t>
  </si>
  <si>
    <t>pb endomagemnt houssing</t>
  </si>
  <si>
    <t>Réinitialisation axe houssing</t>
  </si>
  <si>
    <t>Alignement des contact Nettoyage Tool et démarrage</t>
  </si>
  <si>
    <t>pb d'avance et blocage du contact sur machine</t>
  </si>
  <si>
    <t>Pb blocage de la machine, contact assembly et camera testing NOK</t>
  </si>
  <si>
    <t>pb de variation Dummy by camera resting</t>
  </si>
  <si>
    <t xml:space="preserve">pb de variation Dummy </t>
  </si>
  <si>
    <t>Elimination déchets et ajustement position Feeding</t>
  </si>
  <si>
    <t>Démantage, reset du terminale, ajustement et insertion</t>
  </si>
  <si>
    <t>Débloquage pince</t>
  </si>
  <si>
    <t>Ajustement course de la presse</t>
  </si>
  <si>
    <t>Ajustement détecteur bloqueur de la pièce</t>
  </si>
  <si>
    <t>Démantage Tools, changemant Tools cosse, mantage tools et démarrage de la machine</t>
  </si>
  <si>
    <t>Démantage Tools, nettoyage,  montage et démarrage de la machine</t>
  </si>
  <si>
    <t>pb sur capteur de détection de pièce</t>
  </si>
  <si>
    <t>Débloquage tool, réglage course d'unsertion</t>
  </si>
  <si>
    <t>Juillet</t>
  </si>
  <si>
    <t>AYOUB ECHARIF</t>
  </si>
  <si>
    <t>AZIZ BAHOUH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</si>
</sst>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i/>
      <u/>
      <sz val="14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6"/>
      <color rgb="FF000000"/>
      <name val="Calibri"/>
      <family val="2"/>
    </font>
    <font>
      <b/>
      <sz val="8"/>
      <color theme="1" tint="4.9989318521683403E-2"/>
      <name val="Aptos Narrow"/>
      <family val="2"/>
      <scheme val="minor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auto="1"/>
      </left>
      <right style="medium">
        <color auto="1"/>
      </right>
      <top/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theme="1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68">
    <xf numFmtId="0" fontId="0" fillId="0" borderId="0" xfId="0"/>
    <xf numFmtId="0" fontId="1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/>
    </xf>
    <xf numFmtId="0" fontId="0" fillId="0" borderId="18" xfId="0" applyBorder="1" applyAlignment="1">
      <alignment horizontal="left" vertical="center" wrapText="1"/>
    </xf>
    <xf numFmtId="0" fontId="0" fillId="0" borderId="18" xfId="0" applyBorder="1" applyAlignment="1">
      <alignment horizontal="left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3" xfId="0" applyBorder="1" applyAlignment="1">
      <alignment horizontal="left" vertical="center" wrapText="1"/>
    </xf>
    <xf numFmtId="0" fontId="0" fillId="0" borderId="23" xfId="0" applyBorder="1" applyAlignment="1">
      <alignment horizontal="left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9" fontId="0" fillId="0" borderId="0" xfId="1" applyFont="1"/>
    <xf numFmtId="0" fontId="8" fillId="4" borderId="32" xfId="0" applyFont="1" applyFill="1" applyBorder="1" applyAlignment="1">
      <alignment horizontal="center" vertical="center"/>
    </xf>
    <xf numFmtId="0" fontId="8" fillId="4" borderId="33" xfId="0" applyFont="1" applyFill="1" applyBorder="1" applyAlignment="1">
      <alignment horizontal="center" vertical="center"/>
    </xf>
    <xf numFmtId="0" fontId="7" fillId="0" borderId="0" xfId="0" applyFont="1"/>
    <xf numFmtId="0" fontId="7" fillId="5" borderId="34" xfId="0" applyFont="1" applyFill="1" applyBorder="1"/>
    <xf numFmtId="0" fontId="7" fillId="0" borderId="34" xfId="0" applyFont="1" applyBorder="1"/>
    <xf numFmtId="0" fontId="9" fillId="0" borderId="0" xfId="0" applyFont="1"/>
    <xf numFmtId="0" fontId="8" fillId="4" borderId="37" xfId="0" applyFont="1" applyFill="1" applyBorder="1" applyAlignment="1">
      <alignment horizontal="center" vertical="center"/>
    </xf>
    <xf numFmtId="0" fontId="7" fillId="0" borderId="29" xfId="0" applyFont="1" applyBorder="1"/>
    <xf numFmtId="0" fontId="8" fillId="4" borderId="35" xfId="0" applyFont="1" applyFill="1" applyBorder="1" applyAlignment="1">
      <alignment horizontal="center" vertical="center"/>
    </xf>
    <xf numFmtId="0" fontId="7" fillId="5" borderId="36" xfId="0" applyFont="1" applyFill="1" applyBorder="1"/>
    <xf numFmtId="0" fontId="7" fillId="0" borderId="36" xfId="0" applyFont="1" applyBorder="1"/>
    <xf numFmtId="0" fontId="7" fillId="5" borderId="29" xfId="0" applyFont="1" applyFill="1" applyBorder="1"/>
    <xf numFmtId="0" fontId="10" fillId="3" borderId="28" xfId="0" applyFont="1" applyFill="1" applyBorder="1" applyAlignment="1">
      <alignment horizontal="center" vertical="center" wrapText="1"/>
    </xf>
    <xf numFmtId="0" fontId="10" fillId="3" borderId="25" xfId="0" applyFont="1" applyFill="1" applyBorder="1" applyAlignment="1">
      <alignment horizontal="center" vertical="center" wrapText="1"/>
    </xf>
    <xf numFmtId="0" fontId="10" fillId="3" borderId="26" xfId="0" applyFont="1" applyFill="1" applyBorder="1" applyAlignment="1">
      <alignment horizontal="center" vertical="center" wrapText="1"/>
    </xf>
    <xf numFmtId="0" fontId="10" fillId="3" borderId="27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2" fillId="7" borderId="38" xfId="0" applyFont="1" applyFill="1" applyBorder="1" applyAlignment="1">
      <alignment horizontal="center" vertical="center" wrapText="1"/>
    </xf>
    <xf numFmtId="14" fontId="2" fillId="7" borderId="38" xfId="0" applyNumberFormat="1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7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17" fontId="0" fillId="0" borderId="15" xfId="0" applyNumberFormat="1" applyBorder="1" applyAlignment="1">
      <alignment horizontal="center" vertical="center"/>
    </xf>
    <xf numFmtId="0" fontId="0" fillId="0" borderId="17" xfId="0" applyBorder="1" applyAlignment="1">
      <alignment horizontal="left" vertical="center" wrapText="1"/>
    </xf>
    <xf numFmtId="0" fontId="0" fillId="0" borderId="22" xfId="0" applyBorder="1" applyAlignment="1">
      <alignment horizontal="left" vertical="center" wrapText="1"/>
    </xf>
    <xf numFmtId="0" fontId="1" fillId="2" borderId="13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0" formatCode="General"/>
      <fill>
        <patternFill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left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theme="1"/>
        </top>
        <bottom style="thin">
          <color theme="1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border diagonalUp="0" diagonalDown="0">
        <left style="medium">
          <color indexed="64"/>
        </left>
        <right style="medium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border diagonalUp="0" diagonalDown="0">
        <left style="medium">
          <color indexed="64"/>
        </left>
        <right style="medium">
          <color indexed="64"/>
        </right>
        <vertical/>
      </border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border diagonalUp="0" diagonalDown="0">
        <left style="medium">
          <color auto="1"/>
        </left>
        <right style="medium">
          <color auto="1"/>
        </right>
        <vertical/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Aptos Narrow"/>
        <family val="2"/>
        <scheme val="minor"/>
      </font>
      <fill>
        <patternFill patternType="solid">
          <fgColor theme="1"/>
          <bgColor theme="1"/>
        </patternFill>
      </fill>
      <alignment horizontal="center" vertical="center" textRotation="0" wrapText="0" indent="0" justifyLastLine="0" shrinkToFit="0" readingOrder="0"/>
    </dxf>
    <dxf>
      <numFmt numFmtId="0" formatCode="General"/>
    </dxf>
    <dxf>
      <fill>
        <patternFill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/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ill>
        <patternFill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0" formatCode="General"/>
      <fill>
        <patternFill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>
          <bgColor theme="0"/>
        </patternFill>
      </fill>
      <alignment horizontal="center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fill>
        <patternFill>
          <bgColor theme="0"/>
        </patternFill>
      </fill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 tint="4.9989318521683403E-2"/>
        <name val="Aptos Narrow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[Thor - Corrective maintenance follow-up.xlsx]Data analysis!PivotTable28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Assembly Area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 analysis'!$B$13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'Data analysis'!$A$14:$A$56</c:f>
              <c:strCache>
                <c:ptCount val="42"/>
                <c:pt idx="0">
                  <c:v>BAM</c:v>
                </c:pt>
                <c:pt idx="1">
                  <c:v>M4/6</c:v>
                </c:pt>
                <c:pt idx="2">
                  <c:v>Ensacheuse Automatique </c:v>
                </c:pt>
                <c:pt idx="3">
                  <c:v>SNK 5</c:v>
                </c:pt>
                <c:pt idx="4">
                  <c:v>Test</c:v>
                </c:pt>
                <c:pt idx="5">
                  <c:v>Komax Gamma</c:v>
                </c:pt>
                <c:pt idx="6">
                  <c:v>EcoCut</c:v>
                </c:pt>
                <c:pt idx="7">
                  <c:v>G-PRESS de Sertissage 2 TE</c:v>
                </c:pt>
                <c:pt idx="8">
                  <c:v>Press Manuel</c:v>
                </c:pt>
                <c:pt idx="9">
                  <c:v>ZS6</c:v>
                </c:pt>
                <c:pt idx="10">
                  <c:v>G-Press</c:v>
                </c:pt>
                <c:pt idx="11">
                  <c:v>HR Dénudeuse 4 fils</c:v>
                </c:pt>
                <c:pt idx="12">
                  <c:v>Winding Machine Stator K11666</c:v>
                </c:pt>
                <c:pt idx="13">
                  <c:v>Applicateur</c:v>
                </c:pt>
                <c:pt idx="14">
                  <c:v>G-PRESS de Sertissage 3 TE</c:v>
                </c:pt>
                <c:pt idx="15">
                  <c:v>Cutting Rail Automatique</c:v>
                </c:pt>
                <c:pt idx="16">
                  <c:v>Denudeuse</c:v>
                </c:pt>
                <c:pt idx="17">
                  <c:v>HR Connector assembly </c:v>
                </c:pt>
                <c:pt idx="18">
                  <c:v>Alpha Jet Noir </c:v>
                </c:pt>
                <c:pt idx="19">
                  <c:v>Machine de sertissage</c:v>
                </c:pt>
                <c:pt idx="20">
                  <c:v>ZK2.5</c:v>
                </c:pt>
                <c:pt idx="21">
                  <c:v>BOY 3</c:v>
                </c:pt>
                <c:pt idx="22">
                  <c:v>Komax Alpha</c:v>
                </c:pt>
                <c:pt idx="23">
                  <c:v>RC </c:v>
                </c:pt>
                <c:pt idx="24">
                  <c:v>Ultrasonic 4</c:v>
                </c:pt>
                <c:pt idx="25">
                  <c:v>Ultrasonic 1</c:v>
                </c:pt>
                <c:pt idx="26">
                  <c:v>Winding Machine Rotor K06677</c:v>
                </c:pt>
                <c:pt idx="27">
                  <c:v>Machine de dénudage</c:v>
                </c:pt>
                <c:pt idx="28">
                  <c:v>Test 2 : MARTA 2-2</c:v>
                </c:pt>
                <c:pt idx="29">
                  <c:v>Power Strip 1 </c:v>
                </c:pt>
                <c:pt idx="30">
                  <c:v>ZS4</c:v>
                </c:pt>
                <c:pt idx="31">
                  <c:v>SNK 6</c:v>
                </c:pt>
                <c:pt idx="32">
                  <c:v>BAZ1</c:v>
                </c:pt>
                <c:pt idx="33">
                  <c:v>G-PRESS de Sertissage 4-AMP</c:v>
                </c:pt>
                <c:pt idx="34">
                  <c:v>Laser Marking System </c:v>
                </c:pt>
                <c:pt idx="35">
                  <c:v>HR Gpress StripCrimp</c:v>
                </c:pt>
                <c:pt idx="36">
                  <c:v>Test 2 : MARTA 4-1</c:v>
                </c:pt>
                <c:pt idx="37">
                  <c:v>SNK 2</c:v>
                </c:pt>
                <c:pt idx="38">
                  <c:v>G-PRESS de Sertissage 1 TE</c:v>
                </c:pt>
                <c:pt idx="39">
                  <c:v>BOY 5</c:v>
                </c:pt>
                <c:pt idx="40">
                  <c:v>Power Strip 2</c:v>
                </c:pt>
                <c:pt idx="41">
                  <c:v>(blank)</c:v>
                </c:pt>
              </c:strCache>
            </c:strRef>
          </c:cat>
          <c:val>
            <c:numRef>
              <c:f>'Data analysis'!$B$14:$B$56</c:f>
              <c:numCache>
                <c:formatCode>General</c:formatCode>
                <c:ptCount val="42"/>
                <c:pt idx="0">
                  <c:v>700</c:v>
                </c:pt>
                <c:pt idx="1">
                  <c:v>680</c:v>
                </c:pt>
                <c:pt idx="2">
                  <c:v>565</c:v>
                </c:pt>
                <c:pt idx="3">
                  <c:v>525</c:v>
                </c:pt>
                <c:pt idx="4">
                  <c:v>255</c:v>
                </c:pt>
                <c:pt idx="5">
                  <c:v>245</c:v>
                </c:pt>
                <c:pt idx="6">
                  <c:v>200</c:v>
                </c:pt>
                <c:pt idx="7">
                  <c:v>190</c:v>
                </c:pt>
                <c:pt idx="8">
                  <c:v>170</c:v>
                </c:pt>
                <c:pt idx="9">
                  <c:v>140</c:v>
                </c:pt>
                <c:pt idx="10">
                  <c:v>115</c:v>
                </c:pt>
                <c:pt idx="11">
                  <c:v>105</c:v>
                </c:pt>
                <c:pt idx="12">
                  <c:v>105</c:v>
                </c:pt>
                <c:pt idx="13">
                  <c:v>100</c:v>
                </c:pt>
                <c:pt idx="14">
                  <c:v>85</c:v>
                </c:pt>
                <c:pt idx="15">
                  <c:v>75</c:v>
                </c:pt>
                <c:pt idx="16">
                  <c:v>75</c:v>
                </c:pt>
                <c:pt idx="17">
                  <c:v>55</c:v>
                </c:pt>
                <c:pt idx="18">
                  <c:v>50</c:v>
                </c:pt>
                <c:pt idx="19">
                  <c:v>50</c:v>
                </c:pt>
                <c:pt idx="20">
                  <c:v>45</c:v>
                </c:pt>
                <c:pt idx="21">
                  <c:v>40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  <c:pt idx="30">
                  <c:v>30</c:v>
                </c:pt>
                <c:pt idx="31">
                  <c:v>25</c:v>
                </c:pt>
                <c:pt idx="32">
                  <c:v>25</c:v>
                </c:pt>
                <c:pt idx="33">
                  <c:v>25</c:v>
                </c:pt>
                <c:pt idx="34">
                  <c:v>20</c:v>
                </c:pt>
                <c:pt idx="35">
                  <c:v>20</c:v>
                </c:pt>
                <c:pt idx="36">
                  <c:v>20</c:v>
                </c:pt>
                <c:pt idx="37">
                  <c:v>20</c:v>
                </c:pt>
                <c:pt idx="38">
                  <c:v>15</c:v>
                </c:pt>
                <c:pt idx="39">
                  <c:v>15</c:v>
                </c:pt>
                <c:pt idx="4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EC-4529-9EEB-59B9E64B19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8977064"/>
        <c:axId val="858973104"/>
      </c:barChart>
      <c:catAx>
        <c:axId val="858977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8973104"/>
        <c:crosses val="autoZero"/>
        <c:auto val="1"/>
        <c:lblAlgn val="ctr"/>
        <c:lblOffset val="100"/>
        <c:noMultiLvlLbl val="0"/>
      </c:catAx>
      <c:valAx>
        <c:axId val="858973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8977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670469</xdr:colOff>
      <xdr:row>0</xdr:row>
      <xdr:rowOff>11657</xdr:rowOff>
    </xdr:from>
    <xdr:ext cx="1019174" cy="405020"/>
    <xdr:pic>
      <xdr:nvPicPr>
        <xdr:cNvPr id="2" name="Picture 1">
          <a:extLst>
            <a:ext uri="{FF2B5EF4-FFF2-40B4-BE49-F238E27FC236}">
              <a16:creationId xmlns:a16="http://schemas.microsoft.com/office/drawing/2014/main" id="{92B59347-9D10-4B73-8314-F6F7355A60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0469" y="11657"/>
          <a:ext cx="1019174" cy="40502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161926</xdr:colOff>
      <xdr:row>0</xdr:row>
      <xdr:rowOff>47628</xdr:rowOff>
    </xdr:from>
    <xdr:ext cx="1019174" cy="405020"/>
    <xdr:pic>
      <xdr:nvPicPr>
        <xdr:cNvPr id="2" name="Picture 1">
          <a:extLst>
            <a:ext uri="{FF2B5EF4-FFF2-40B4-BE49-F238E27FC236}">
              <a16:creationId xmlns:a16="http://schemas.microsoft.com/office/drawing/2014/main" id="{DC03D9B6-AD61-4A45-B5D4-30CD65D48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751" y="44453"/>
          <a:ext cx="1019174" cy="405020"/>
        </a:xfrm>
        <a:prstGeom prst="rect">
          <a:avLst/>
        </a:prstGeom>
      </xdr:spPr>
    </xdr:pic>
    <xdr:clientData/>
  </xdr:oneCellAnchor>
  <xdr:twoCellAnchor>
    <xdr:from>
      <xdr:col>3</xdr:col>
      <xdr:colOff>734331</xdr:colOff>
      <xdr:row>13</xdr:row>
      <xdr:rowOff>97971</xdr:rowOff>
    </xdr:from>
    <xdr:to>
      <xdr:col>12</xdr:col>
      <xdr:colOff>557892</xdr:colOff>
      <xdr:row>49</xdr:row>
      <xdr:rowOff>105682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79BE3AE-67A5-9D57-798D-53AB76B8AC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161926</xdr:colOff>
      <xdr:row>0</xdr:row>
      <xdr:rowOff>47628</xdr:rowOff>
    </xdr:from>
    <xdr:ext cx="1019174" cy="405020"/>
    <xdr:pic>
      <xdr:nvPicPr>
        <xdr:cNvPr id="2" name="Picture 1">
          <a:extLst>
            <a:ext uri="{FF2B5EF4-FFF2-40B4-BE49-F238E27FC236}">
              <a16:creationId xmlns:a16="http://schemas.microsoft.com/office/drawing/2014/main" id="{F28EF0F1-0AFD-48F5-BBAB-BA7C727630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6" y="47628"/>
          <a:ext cx="1019174" cy="40502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403680</xdr:colOff>
      <xdr:row>0</xdr:row>
      <xdr:rowOff>8167</xdr:rowOff>
    </xdr:from>
    <xdr:ext cx="1019174" cy="405020"/>
    <xdr:pic>
      <xdr:nvPicPr>
        <xdr:cNvPr id="2" name="Picture 1">
          <a:extLst>
            <a:ext uri="{FF2B5EF4-FFF2-40B4-BE49-F238E27FC236}">
              <a16:creationId xmlns:a16="http://schemas.microsoft.com/office/drawing/2014/main" id="{0E2CF747-7D36-440B-AF8E-4CF245AE9D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3680" y="8167"/>
          <a:ext cx="1019174" cy="40502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FORMULARE_CZ\x-R%20kart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-R"/>
      <sheetName val="Kontrola výpočtů"/>
      <sheetName val="xxx"/>
      <sheetName val="druhá strana"/>
      <sheetName val="Modul1"/>
      <sheetName val="Dialog1"/>
      <sheetName val="Dialog3"/>
      <sheetName val="Dialog2"/>
      <sheetName val="x-R karta"/>
      <sheetName val="Kontrola_výpočtů"/>
      <sheetName val="druhá_strana"/>
      <sheetName val="x-R_karta"/>
      <sheetName val="Kontrola_výpočtů1"/>
      <sheetName val="druhá_strana1"/>
      <sheetName val="x-R_karta1"/>
      <sheetName val="4"/>
    </sheetNames>
    <definedNames>
      <definedName name="tisk"/>
      <definedName name="tisk_druhé_stran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llouk, Soufiane" refreshedDate="45700.377402314814" createdVersion="8" refreshedVersion="8" minRefreshableVersion="3" recordCount="419" xr:uid="{717EA61B-EC76-4E60-8CF5-0CC814DCF457}">
  <cacheSource type="worksheet">
    <worksheetSource ref="A5:N232" sheet="Recording"/>
  </cacheSource>
  <cacheFields count="14">
    <cacheField name="Date " numFmtId="0">
      <sharedItems containsNonDate="0" containsDate="1" containsString="0" containsBlank="1" minDate="2025-02-03T00:00:00" maxDate="2025-02-20T00:00:00"/>
    </cacheField>
    <cacheField name="Semaine" numFmtId="0">
      <sharedItems containsSemiMixedTypes="0" containsString="0" containsNumber="1" containsInteger="1" minValue="0" maxValue="225" count="226">
        <n v="6"/>
        <n v="7"/>
        <n v="8"/>
        <n v="0"/>
        <n v="1" u="1"/>
        <n v="2" u="1"/>
        <n v="3" u="1"/>
        <n v="4" u="1"/>
        <n v="5" u="1"/>
        <n v="9" u="1"/>
        <n v="10" u="1"/>
        <n v="11" u="1"/>
        <n v="12" u="1"/>
        <n v="13" u="1"/>
        <n v="14" u="1"/>
        <n v="15" u="1"/>
        <n v="16" u="1"/>
        <n v="17" u="1"/>
        <n v="18" u="1"/>
        <n v="19" u="1"/>
        <n v="20" u="1"/>
        <n v="21" u="1"/>
        <n v="22" u="1"/>
        <n v="23" u="1"/>
        <n v="24" u="1"/>
        <n v="25" u="1"/>
        <n v="26" u="1"/>
        <n v="27" u="1"/>
        <n v="28" u="1"/>
        <n v="29" u="1"/>
        <n v="30" u="1"/>
        <n v="31" u="1"/>
        <n v="32" u="1"/>
        <n v="33" u="1"/>
        <n v="34" u="1"/>
        <n v="35" u="1"/>
        <n v="36" u="1"/>
        <n v="37" u="1"/>
        <n v="38" u="1"/>
        <n v="39" u="1"/>
        <n v="40" u="1"/>
        <n v="41" u="1"/>
        <n v="42" u="1"/>
        <n v="43" u="1"/>
        <n v="44" u="1"/>
        <n v="45" u="1"/>
        <n v="46" u="1"/>
        <n v="47" u="1"/>
        <n v="48" u="1"/>
        <n v="49" u="1"/>
        <n v="50" u="1"/>
        <n v="51" u="1"/>
        <n v="52" u="1"/>
        <n v="53" u="1"/>
        <n v="54" u="1"/>
        <n v="55" u="1"/>
        <n v="56" u="1"/>
        <n v="57" u="1"/>
        <n v="58" u="1"/>
        <n v="59" u="1"/>
        <n v="60" u="1"/>
        <n v="61" u="1"/>
        <n v="62" u="1"/>
        <n v="63" u="1"/>
        <n v="64" u="1"/>
        <n v="65" u="1"/>
        <n v="66" u="1"/>
        <n v="67" u="1"/>
        <n v="68" u="1"/>
        <n v="69" u="1"/>
        <n v="70" u="1"/>
        <n v="71" u="1"/>
        <n v="72" u="1"/>
        <n v="73" u="1"/>
        <n v="74" u="1"/>
        <n v="75" u="1"/>
        <n v="76" u="1"/>
        <n v="77" u="1"/>
        <n v="78" u="1"/>
        <n v="79" u="1"/>
        <n v="80" u="1"/>
        <n v="81" u="1"/>
        <n v="82" u="1"/>
        <n v="83" u="1"/>
        <n v="84" u="1"/>
        <n v="85" u="1"/>
        <n v="86" u="1"/>
        <n v="87" u="1"/>
        <n v="88" u="1"/>
        <n v="89" u="1"/>
        <n v="90" u="1"/>
        <n v="91" u="1"/>
        <n v="92" u="1"/>
        <n v="93" u="1"/>
        <n v="94" u="1"/>
        <n v="95" u="1"/>
        <n v="96" u="1"/>
        <n v="97" u="1"/>
        <n v="98" u="1"/>
        <n v="99" u="1"/>
        <n v="100" u="1"/>
        <n v="101" u="1"/>
        <n v="102" u="1"/>
        <n v="103" u="1"/>
        <n v="104" u="1"/>
        <n v="105" u="1"/>
        <n v="106" u="1"/>
        <n v="107" u="1"/>
        <n v="108" u="1"/>
        <n v="109" u="1"/>
        <n v="110" u="1"/>
        <n v="111" u="1"/>
        <n v="112" u="1"/>
        <n v="113" u="1"/>
        <n v="114" u="1"/>
        <n v="115" u="1"/>
        <n v="116" u="1"/>
        <n v="117" u="1"/>
        <n v="118" u="1"/>
        <n v="119" u="1"/>
        <n v="120" u="1"/>
        <n v="121" u="1"/>
        <n v="122" u="1"/>
        <n v="123" u="1"/>
        <n v="124" u="1"/>
        <n v="125" u="1"/>
        <n v="126" u="1"/>
        <n v="127" u="1"/>
        <n v="128" u="1"/>
        <n v="129" u="1"/>
        <n v="130" u="1"/>
        <n v="131" u="1"/>
        <n v="132" u="1"/>
        <n v="133" u="1"/>
        <n v="134" u="1"/>
        <n v="135" u="1"/>
        <n v="136" u="1"/>
        <n v="137" u="1"/>
        <n v="138" u="1"/>
        <n v="139" u="1"/>
        <n v="140" u="1"/>
        <n v="141" u="1"/>
        <n v="142" u="1"/>
        <n v="143" u="1"/>
        <n v="144" u="1"/>
        <n v="145" u="1"/>
        <n v="146" u="1"/>
        <n v="147" u="1"/>
        <n v="148" u="1"/>
        <n v="149" u="1"/>
        <n v="150" u="1"/>
        <n v="151" u="1"/>
        <n v="152" u="1"/>
        <n v="153" u="1"/>
        <n v="154" u="1"/>
        <n v="155" u="1"/>
        <n v="156" u="1"/>
        <n v="157" u="1"/>
        <n v="158" u="1"/>
        <n v="159" u="1"/>
        <n v="160" u="1"/>
        <n v="161" u="1"/>
        <n v="162" u="1"/>
        <n v="163" u="1"/>
        <n v="164" u="1"/>
        <n v="165" u="1"/>
        <n v="166" u="1"/>
        <n v="167" u="1"/>
        <n v="168" u="1"/>
        <n v="169" u="1"/>
        <n v="170" u="1"/>
        <n v="171" u="1"/>
        <n v="172" u="1"/>
        <n v="173" u="1"/>
        <n v="174" u="1"/>
        <n v="175" u="1"/>
        <n v="176" u="1"/>
        <n v="177" u="1"/>
        <n v="178" u="1"/>
        <n v="179" u="1"/>
        <n v="180" u="1"/>
        <n v="181" u="1"/>
        <n v="182" u="1"/>
        <n v="183" u="1"/>
        <n v="184" u="1"/>
        <n v="185" u="1"/>
        <n v="186" u="1"/>
        <n v="187" u="1"/>
        <n v="188" u="1"/>
        <n v="189" u="1"/>
        <n v="190" u="1"/>
        <n v="191" u="1"/>
        <n v="192" u="1"/>
        <n v="193" u="1"/>
        <n v="194" u="1"/>
        <n v="195" u="1"/>
        <n v="196" u="1"/>
        <n v="197" u="1"/>
        <n v="198" u="1"/>
        <n v="199" u="1"/>
        <n v="200" u="1"/>
        <n v="201" u="1"/>
        <n v="202" u="1"/>
        <n v="203" u="1"/>
        <n v="204" u="1"/>
        <n v="205" u="1"/>
        <n v="206" u="1"/>
        <n v="207" u="1"/>
        <n v="208" u="1"/>
        <n v="209" u="1"/>
        <n v="210" u="1"/>
        <n v="211" u="1"/>
        <n v="212" u="1"/>
        <n v="213" u="1"/>
        <n v="214" u="1"/>
        <n v="215" u="1"/>
        <n v="216" u="1"/>
        <n v="217" u="1"/>
        <n v="218" u="1"/>
        <n v="219" u="1"/>
        <n v="220" u="1"/>
        <n v="221" u="1"/>
        <n v="222" u="1"/>
        <n v="223" u="1"/>
        <n v="224" u="1"/>
        <n v="225" u="1"/>
      </sharedItems>
    </cacheField>
    <cacheField name="Mois" numFmtId="0">
      <sharedItems containsSemiMixedTypes="0" containsString="0" containsNumber="1" containsInteger="1" minValue="1" maxValue="5" count="5">
        <n v="2"/>
        <n v="1"/>
        <n v="3" u="1"/>
        <n v="4" u="1"/>
        <n v="5" u="1"/>
      </sharedItems>
    </cacheField>
    <cacheField name="Shift" numFmtId="0">
      <sharedItems containsBlank="1"/>
    </cacheField>
    <cacheField name="PROJET" numFmtId="0">
      <sharedItems containsBlank="1" count="5">
        <s v="CCAO"/>
        <s v="TB"/>
        <s v="RESOLVERS"/>
        <m/>
        <s v="TERMINAL_BLOC" u="1"/>
      </sharedItems>
    </cacheField>
    <cacheField name="Machine" numFmtId="0">
      <sharedItems containsBlank="1" count="70">
        <s v="Applicateur"/>
        <s v="EcoCut"/>
        <s v="Ultrasonic 1"/>
        <s v="Machine de sertissage"/>
        <s v="Machine de dénudage"/>
        <s v="Test"/>
        <s v="HR Connector assembly "/>
        <s v="BAM"/>
        <s v="ZS6"/>
        <s v="BAZ1"/>
        <s v="SNK 5"/>
        <s v="G-PRESS de Sertissage 3 TE"/>
        <s v="G-PRESS de Sertissage 2 TE"/>
        <s v="Laser Marking System "/>
        <s v="Winding Machine Stator K11666"/>
        <s v="ZS4"/>
        <s v="Komax Gamma"/>
        <s v="Press Manuel"/>
        <s v="Ensacheuse Automatique "/>
        <s v="ZK2.5"/>
        <s v="G-PRESS de Sertissage 4-AMP"/>
        <s v="Denudeuse"/>
        <s v="RC "/>
        <s v="Komax Alpha"/>
        <s v="HR Dénudeuse 4 fils"/>
        <s v="HR Gpress StripCrimp"/>
        <s v="Ultrasonic 4"/>
        <s v="M4/6"/>
        <s v="Test 2 : MARTA 4-1"/>
        <s v="SNK 2"/>
        <s v="Winding Machine Rotor K06677"/>
        <m/>
        <s v="SNK 6"/>
        <s v="Cutting Rail Automatique"/>
        <s v="Alpha Jet Noir "/>
        <s v="G-Press"/>
        <s v="BOY 3"/>
        <s v="Power Strip 1 "/>
        <s v="Test 2 : MARTA 2-2"/>
        <s v="G-PRESS de Sertissage 1 TE"/>
        <s v="BOY 5"/>
        <s v="Power Strip 2"/>
        <s v="Scemi" u="1"/>
        <s v="PAD PRINTING 1" u="1"/>
        <s v="Multitester " u="1"/>
        <s v="Tableau de séparation" u="1"/>
        <s v="MA2.5" u="1"/>
        <s v="BALTEC" u="1"/>
        <s v="Test 3 : MARTA 5-1" u="1"/>
        <s v="Winding Machine Stator K06676" u="1"/>
        <s v="Winding Machine Stator K10519" u="1"/>
        <s v="Winding Machine Stator K11866" u="1"/>
        <s v="Ultrasonic 3" u="1"/>
        <s v="Ultrasonic 2" u="1"/>
        <s v="Servo" u="1"/>
        <s v="Four Metalorigor 2" u="1"/>
        <s v="Test 4 : MARTA 5-2" u="1"/>
        <s v="Komax Zeta" u="1"/>
        <s v="LR Dénudeuse 4 fils " u="1"/>
        <s v="BOY 1" u="1"/>
        <s v="Tour d'Usinage " u="1"/>
        <s v="Machine d'Etamage" u="1"/>
        <s v="Laser" u="1"/>
        <s v="telegartner" u="1"/>
        <s v="Sertissage des Broches " u="1"/>
        <s v="FOUR PMT" u="1"/>
        <s v="Ultrasonic 5" u="1"/>
        <s v="Winding Machine Rotor K05522" u="1"/>
        <s v="Winding Machine Rotor K10520" u="1"/>
        <s v="Laser Welding HAAS " u="1"/>
      </sharedItems>
    </cacheField>
    <cacheField name="Outil _x000a_(Applicateur, Test, Tableau, Press manuelle)" numFmtId="0">
      <sharedItems containsBlank="1"/>
    </cacheField>
    <cacheField name="Type d'intervention" numFmtId="0">
      <sharedItems containsBlank="1"/>
    </cacheField>
    <cacheField name="Intervenant" numFmtId="0">
      <sharedItems containsBlank="1"/>
    </cacheField>
    <cacheField name="Durée de l'Arrêt_x000a_(min)" numFmtId="0">
      <sharedItems containsString="0" containsBlank="1" containsNumber="1" containsInteger="1" minValue="10" maxValue="460"/>
    </cacheField>
    <cacheField name="Problème" numFmtId="0">
      <sharedItems containsBlank="1"/>
    </cacheField>
    <cacheField name="Détails de l'intervention" numFmtId="0">
      <sharedItems containsBlank="1"/>
    </cacheField>
    <cacheField name="Status Intervention" numFmtId="0">
      <sharedItems containsBlank="1"/>
    </cacheField>
    <cacheField name="Risque de Sécurité (après l'intervention Maintenance) 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9">
  <r>
    <d v="2025-02-03T00:00:00"/>
    <x v="0"/>
    <x v="0"/>
    <s v="Mohamed BENDAOUD"/>
    <x v="0"/>
    <x v="0"/>
    <s v="SIEMENS"/>
    <s v="SETUP APPLICATEUR"/>
    <s v="LARHIOUCH RACHID"/>
    <n v="50"/>
    <s v="pb applicateur"/>
    <s v="reglage mecanique"/>
    <s v="Terminer"/>
    <s v="RAS"/>
  </r>
  <r>
    <d v="2025-02-03T00:00:00"/>
    <x v="0"/>
    <x v="0"/>
    <s v="Mohamed BENDAOUD"/>
    <x v="0"/>
    <x v="0"/>
    <s v="OEM"/>
    <s v="SETUP APPLICATEUR"/>
    <s v="LARHIOUCH RACHID"/>
    <n v="50"/>
    <s v="pb applicateurs"/>
    <s v="Ajustement d'avance et reglage mecanique"/>
    <s v="Terminer"/>
    <s v="RAS"/>
  </r>
  <r>
    <d v="2025-02-03T00:00:00"/>
    <x v="0"/>
    <x v="0"/>
    <s v="Mohamed BENDAOUD"/>
    <x v="0"/>
    <x v="1"/>
    <m/>
    <s v="ELECTRIQUE"/>
    <s v="LARHIOUCH RACHID"/>
    <n v="200"/>
    <s v="pb detecteur et blocage"/>
    <s v="reglage detecteiur et nettyage"/>
    <s v="Terminer"/>
    <s v="RAS"/>
  </r>
  <r>
    <d v="2025-02-03T00:00:00"/>
    <x v="0"/>
    <x v="0"/>
    <s v="Mohamed BENDAOUD"/>
    <x v="0"/>
    <x v="2"/>
    <m/>
    <s v="MECANIQUE"/>
    <s v="LARHIOUCH RACHID"/>
    <n v="35"/>
    <s v="pb soudage"/>
    <s v="ajustement des pieces de soudage"/>
    <s v="Terminer"/>
    <s v="RAS"/>
  </r>
  <r>
    <d v="2025-02-03T00:00:00"/>
    <x v="0"/>
    <x v="0"/>
    <s v="Mohamed BENDAOUD"/>
    <x v="0"/>
    <x v="3"/>
    <m/>
    <s v="MECANIQUE"/>
    <s v="Smail EL MOHAMADI"/>
    <n v="20"/>
    <s v="pb applicateur"/>
    <s v="reglage mecanique"/>
    <s v="Terminer"/>
    <s v="RAS"/>
  </r>
  <r>
    <d v="2025-02-03T00:00:00"/>
    <x v="0"/>
    <x v="0"/>
    <s v="Mohamed BENDAOUD"/>
    <x v="0"/>
    <x v="4"/>
    <m/>
    <s v="MECANIQUE"/>
    <s v="ZOUBAIR LAMRABAT"/>
    <n v="30"/>
    <s v="denudage NOK"/>
    <s v="reglage de palpeur et montage de rossort d'ammortissement"/>
    <s v="Terminer"/>
    <s v="RAS"/>
  </r>
  <r>
    <d v="2025-02-03T00:00:00"/>
    <x v="0"/>
    <x v="0"/>
    <s v="Mohamed BENDAOUD"/>
    <x v="0"/>
    <x v="5"/>
    <m/>
    <s v="ELECTRIQUE"/>
    <s v="LARHIOUCH RACHID"/>
    <n v="30"/>
    <s v="pb contre piece"/>
    <s v="chnagement d'alimentation 24 dans la carte et reglage de pin detection"/>
    <s v="Terminer"/>
    <s v="RAS"/>
  </r>
  <r>
    <d v="2025-02-03T00:00:00"/>
    <x v="0"/>
    <x v="0"/>
    <s v="Mohamed BENDAOUD"/>
    <x v="0"/>
    <x v="5"/>
    <m/>
    <s v="MECANIQUE"/>
    <s v="ZOUBAIR LAMRABAT"/>
    <n v="50"/>
    <s v="pb contre piece"/>
    <s v="raglege de contre piece"/>
    <s v="Terminer"/>
    <s v="RAS"/>
  </r>
  <r>
    <d v="2025-02-03T00:00:00"/>
    <x v="0"/>
    <x v="0"/>
    <s v="Mohamed BENDAOUD"/>
    <x v="0"/>
    <x v="6"/>
    <s v="presse de scoba"/>
    <s v="MECANIQUE"/>
    <s v="LARHIOUCH RACHID"/>
    <n v="35"/>
    <s v="pb pin casse"/>
    <s v="changement de pin casse presse scoba"/>
    <s v="Terminer"/>
    <s v="RAS"/>
  </r>
  <r>
    <d v="2025-02-03T00:00:00"/>
    <x v="0"/>
    <x v="0"/>
    <s v="Mohamed BENDAOUD"/>
    <x v="0"/>
    <x v="3"/>
    <s v="2266058-2"/>
    <s v="MECANIQUE"/>
    <s v="BEN DAOUD MOHAMED"/>
    <n v="30"/>
    <s v="pb applicateur"/>
    <s v="reglage d'avance et des griffes"/>
    <s v="Terminer"/>
    <s v="RAS"/>
  </r>
  <r>
    <d v="2025-02-03T00:00:00"/>
    <x v="0"/>
    <x v="0"/>
    <s v="Mohamed BENDAOUD"/>
    <x v="1"/>
    <x v="7"/>
    <m/>
    <s v="MECANIQUE"/>
    <s v="ZOUBAIR LAMRABAT"/>
    <n v="40"/>
    <s v="cassement de support de fibre"/>
    <s v="changement de support casse"/>
    <s v="Terminer"/>
    <s v="RAS"/>
  </r>
  <r>
    <d v="2025-02-03T00:00:00"/>
    <x v="0"/>
    <x v="0"/>
    <s v="Mohamed BENDAOUD"/>
    <x v="1"/>
    <x v="8"/>
    <m/>
    <s v="ELECTRIQUE"/>
    <s v="ZOUBAIR LAMRABAT"/>
    <n v="120"/>
    <s v="blockage de serre fil"/>
    <s v="reglage mecanique et inverssement de detecteur"/>
    <s v="Terminer"/>
    <s v="RAS"/>
  </r>
  <r>
    <d v="2025-02-03T00:00:00"/>
    <x v="0"/>
    <x v="0"/>
    <s v="Mohamed BENDAOUD"/>
    <x v="1"/>
    <x v="9"/>
    <m/>
    <s v="MECANIQUE"/>
    <s v="BEN DAOUD MOHAMED"/>
    <n v="25"/>
    <s v="detection de pied"/>
    <s v="reglage de support de raill et detecteur"/>
    <s v="Terminer"/>
    <s v="RAS"/>
  </r>
  <r>
    <d v="2025-02-03T00:00:00"/>
    <x v="0"/>
    <x v="0"/>
    <s v="Mohamed BENDAOUD"/>
    <x v="1"/>
    <x v="10"/>
    <m/>
    <s v="MECANIQUE"/>
    <s v="ZOUBAIR LAMRABAT"/>
    <n v="35"/>
    <s v="Probleme de separateur"/>
    <s v="reglage mecanique et electrique"/>
    <s v="Terminer"/>
    <s v="RAS"/>
  </r>
  <r>
    <d v="2025-02-03T00:00:00"/>
    <x v="0"/>
    <x v="0"/>
    <s v="Mohamed BENDAOUD"/>
    <x v="1"/>
    <x v="10"/>
    <m/>
    <s v="MECANIQUE"/>
    <s v="Smail EL MOHAMADI"/>
    <n v="30"/>
    <s v="Probleme de separateur"/>
    <s v="reglage mecanique et fixation de verin separateur"/>
    <s v="Terminer"/>
    <s v="RAS"/>
  </r>
  <r>
    <d v="2025-02-03T00:00:00"/>
    <x v="0"/>
    <x v="0"/>
    <s v="Mohamed BENDAOUD"/>
    <x v="2"/>
    <x v="11"/>
    <m/>
    <s v="MECANIQUE"/>
    <s v="LARHIOUCH RACHID"/>
    <n v="30"/>
    <s v="degradation de porte de securitee"/>
    <s v="ajustement de la port et reglage de pixiglasse"/>
    <s v="Terminer"/>
    <s v="RAS"/>
  </r>
  <r>
    <d v="2025-02-03T00:00:00"/>
    <x v="0"/>
    <x v="0"/>
    <s v="Mohamed BENDAOUD"/>
    <x v="2"/>
    <x v="12"/>
    <m/>
    <s v="MECANIQUE"/>
    <s v="Smail EL MOHAMADI"/>
    <n v="40"/>
    <s v="changement d'aplicateur"/>
    <s v="changement de modification fait au applicateur et ajustement"/>
    <s v="Terminer"/>
    <s v="RAS"/>
  </r>
  <r>
    <d v="2025-02-03T00:00:00"/>
    <x v="0"/>
    <x v="0"/>
    <s v="Mohamed BENDAOUD"/>
    <x v="2"/>
    <x v="13"/>
    <m/>
    <s v="ELECTRIQUE"/>
    <s v="Smail EL MOHAMADI"/>
    <n v="20"/>
    <s v="Pb camera "/>
    <s v="reamement et demmarage"/>
    <s v="Terminer"/>
    <s v="RAS"/>
  </r>
  <r>
    <d v="2025-02-03T00:00:00"/>
    <x v="0"/>
    <x v="0"/>
    <s v="Mohamed BENDAOUD"/>
    <x v="2"/>
    <x v="14"/>
    <m/>
    <s v="MECANIQUE"/>
    <s v="Smail EL MOHAMADI"/>
    <n v="30"/>
    <s v="Pb bobonage NOK"/>
    <s v="suivi de machine et reglage d'aiguille"/>
    <s v="Terminer"/>
    <s v="RAS"/>
  </r>
  <r>
    <d v="2025-02-04T00:00:00"/>
    <x v="0"/>
    <x v="0"/>
    <s v="Mohamed BENDAOUD"/>
    <x v="1"/>
    <x v="15"/>
    <m/>
    <s v="ELECTRIQUE"/>
    <s v="ZOUBAIR LAMRABAT"/>
    <n v="30"/>
    <s v="Probleme de poste 9 et 3"/>
    <s v="Reglage + Ajustement position de detecteur + Ajustement position des connecteurs  "/>
    <s v="Terminer"/>
    <s v="RAS"/>
  </r>
  <r>
    <d v="2025-02-04T00:00:00"/>
    <x v="0"/>
    <x v="0"/>
    <s v="Mohamed BENDAOUD"/>
    <x v="0"/>
    <x v="16"/>
    <m/>
    <s v="MECANIQUE"/>
    <s v="LARHIOUCH RACHID"/>
    <n v="150"/>
    <s v="sertissage NOK"/>
    <s v="ajustage position de terminnal"/>
    <s v="Terminer"/>
    <s v="RAS"/>
  </r>
  <r>
    <d v="2025-02-04T00:00:00"/>
    <x v="0"/>
    <x v="0"/>
    <s v="Mohamed BENDAOUD"/>
    <x v="2"/>
    <x v="12"/>
    <m/>
    <s v="MECANIQUE"/>
    <s v="BEN DAOUD MOHAMED"/>
    <n v="20"/>
    <s v="changement d'aplicateur"/>
    <s v="changement d'aplicateur + ajustage denudage et sertissage"/>
    <s v="Terminer"/>
    <s v="RAS"/>
  </r>
  <r>
    <d v="2025-02-04T00:00:00"/>
    <x v="0"/>
    <x v="0"/>
    <s v="Mohamed BENDAOUD"/>
    <x v="2"/>
    <x v="14"/>
    <m/>
    <s v="MECANIQUE"/>
    <s v="Smail EL MOHAMADI"/>
    <n v="20"/>
    <s v="Pb bobonage NOK"/>
    <s v="ajustage position d'aiguille "/>
    <s v="Terminer"/>
    <s v="RAS"/>
  </r>
  <r>
    <d v="2025-02-04T00:00:00"/>
    <x v="0"/>
    <x v="0"/>
    <s v="Mohamed BENDAOUD"/>
    <x v="2"/>
    <x v="11"/>
    <m/>
    <s v="MECANIQUE"/>
    <s v="Smail EL MOHAMADI"/>
    <n v="35"/>
    <s v="changement d'aplicateur"/>
    <s v="changement d'aplicateur + ajustage denudage et sertissage"/>
    <s v="Terminer"/>
    <s v="RAS"/>
  </r>
  <r>
    <d v="2025-02-04T00:00:00"/>
    <x v="0"/>
    <x v="0"/>
    <s v="Mohamed BENDAOUD"/>
    <x v="1"/>
    <x v="17"/>
    <m/>
    <s v="MECANIQUE"/>
    <s v="ZOUBAIR LAMRABAT"/>
    <n v="25"/>
    <m/>
    <s v="Repparation 3 press manuels"/>
    <s v="Terminer"/>
    <s v="RAS"/>
  </r>
  <r>
    <d v="2025-02-04T00:00:00"/>
    <x v="0"/>
    <x v="0"/>
    <s v="Mohamed BENDAOUD"/>
    <x v="0"/>
    <x v="16"/>
    <m/>
    <s v="MECANIQUE"/>
    <s v="LARHIOUCH RACHID"/>
    <n v="30"/>
    <s v="sertissage NOK"/>
    <s v="Ajustement de lavance de applicateur"/>
    <s v="Terminer"/>
    <s v="RAS"/>
  </r>
  <r>
    <d v="2025-02-04T00:00:00"/>
    <x v="0"/>
    <x v="0"/>
    <s v="Mohamed BENDAOUD"/>
    <x v="0"/>
    <x v="6"/>
    <s v="presse scoba"/>
    <s v="MECANIQUE"/>
    <s v="BEN DAOUD MOHAMED"/>
    <n v="20"/>
    <s v="changement les pines"/>
    <s v="changement 2 pine casse"/>
    <s v="Terminer"/>
    <s v="RAS"/>
  </r>
  <r>
    <d v="2025-02-04T00:00:00"/>
    <x v="0"/>
    <x v="0"/>
    <s v="Mohamed BENDAOUD"/>
    <x v="1"/>
    <x v="10"/>
    <m/>
    <s v="MECANIQUE"/>
    <s v="ZOUBAIR LAMRABAT"/>
    <n v="30"/>
    <m/>
    <s v="Reglage la machine + Ajustement"/>
    <s v="Terminer"/>
    <s v="RAS"/>
  </r>
  <r>
    <d v="2025-02-04T00:00:00"/>
    <x v="0"/>
    <x v="0"/>
    <s v="Mohamed BENDAOUD"/>
    <x v="1"/>
    <x v="10"/>
    <m/>
    <s v="MECANIQUE"/>
    <s v="BEN DAOUD MOHAMED"/>
    <n v="220"/>
    <s v="Panne electrique"/>
    <s v="Changement fin de course de porte securité + Cablage a nouveau"/>
    <s v="Terminer"/>
    <s v="RAS"/>
  </r>
  <r>
    <d v="2025-02-04T00:00:00"/>
    <x v="0"/>
    <x v="0"/>
    <s v="Mohamed BENDAOUD"/>
    <x v="1"/>
    <x v="7"/>
    <m/>
    <s v="MECANIQUE"/>
    <s v="ZOUBAIR LAMRABAT"/>
    <n v="50"/>
    <s v="Pb de position bas"/>
    <s v="Réglage de position de la chaine de la machine"/>
    <s v="Terminer"/>
    <s v="RAS"/>
  </r>
  <r>
    <d v="2025-02-05T00:00:00"/>
    <x v="0"/>
    <x v="0"/>
    <s v="Mohamed BENDAOUD"/>
    <x v="1"/>
    <x v="18"/>
    <m/>
    <s v="MECANIQUE"/>
    <s v="ZOUBAIR LAMRABAT"/>
    <n v="35"/>
    <s v="Pb marquage"/>
    <s v="Réglage position de tete"/>
    <s v="Terminer"/>
    <s v="RAS"/>
  </r>
  <r>
    <d v="2025-02-05T00:00:00"/>
    <x v="0"/>
    <x v="0"/>
    <s v="Mohamed BENDAOUD"/>
    <x v="1"/>
    <x v="10"/>
    <m/>
    <s v="MECANIQUE"/>
    <s v="Smail EL MOHAMADI"/>
    <n v="50"/>
    <s v="Panne machine"/>
    <s v="Réglage de la machine"/>
    <s v="Terminer"/>
    <s v="RAS"/>
  </r>
  <r>
    <d v="2025-02-05T00:00:00"/>
    <x v="0"/>
    <x v="0"/>
    <s v="Mohamed BENDAOUD"/>
    <x v="1"/>
    <x v="19"/>
    <m/>
    <s v="ELECTRIQUE"/>
    <s v="BEN DAOUD MOHAMED"/>
    <n v="10"/>
    <s v="Panne machine"/>
    <s v="Rearement de la machine"/>
    <s v="Terminer"/>
    <s v="RAS"/>
  </r>
  <r>
    <d v="2025-02-05T00:00:00"/>
    <x v="0"/>
    <x v="0"/>
    <s v="Mohamed BENDAOUD"/>
    <x v="1"/>
    <x v="18"/>
    <m/>
    <s v="MECANIQUE"/>
    <s v="ZOUBAIR LAMRABAT"/>
    <n v="30"/>
    <s v="Probleme de soudage"/>
    <s v="Réglage de l'ensacheuse"/>
    <s v="Terminer"/>
    <s v="RAS"/>
  </r>
  <r>
    <d v="2025-02-05T00:00:00"/>
    <x v="0"/>
    <x v="0"/>
    <s v="Mohamed BENDAOUD"/>
    <x v="2"/>
    <x v="12"/>
    <m/>
    <s v="MECANIQUE"/>
    <s v="Smail EL MOHAMADI"/>
    <n v="15"/>
    <s v="changement d'aplicateur"/>
    <s v="changement d'aplicateur + ajustage denudage et sertissage"/>
    <s v="Terminer"/>
    <s v="RAS"/>
  </r>
  <r>
    <d v="2025-02-05T00:00:00"/>
    <x v="0"/>
    <x v="0"/>
    <s v="Mohamed BENDAOUD"/>
    <x v="2"/>
    <x v="11"/>
    <m/>
    <s v="MECANIQUE"/>
    <s v="Smail EL MOHAMADI"/>
    <n v="20"/>
    <s v="sertissage NOK"/>
    <s v="ajustage position de terminnal"/>
    <s v="Terminer"/>
    <s v="RAS"/>
  </r>
  <r>
    <d v="2025-02-05T00:00:00"/>
    <x v="0"/>
    <x v="0"/>
    <s v="Mohamed BENDAOUD"/>
    <x v="2"/>
    <x v="20"/>
    <m/>
    <s v="MECANIQUE"/>
    <s v="Smail EL MOHAMADI"/>
    <n v="25"/>
    <s v="Pb capteur de file "/>
    <s v="reglage palpeur de capteur de file "/>
    <s v="Terminer"/>
    <s v="RAS"/>
  </r>
  <r>
    <d v="2025-02-05T00:00:00"/>
    <x v="0"/>
    <x v="0"/>
    <s v="Mohamed BENDAOUD"/>
    <x v="2"/>
    <x v="14"/>
    <m/>
    <s v="MECANIQUE"/>
    <s v="Smail EL MOHAMADI"/>
    <n v="20"/>
    <s v="Pb bobonage NOK"/>
    <s v="change et ajustage position d'aiguille "/>
    <s v="Terminer"/>
    <s v="RAS"/>
  </r>
  <r>
    <d v="2025-02-05T00:00:00"/>
    <x v="0"/>
    <x v="0"/>
    <s v="Mohamed BENDAOUD"/>
    <x v="0"/>
    <x v="21"/>
    <s v="HR"/>
    <s v="MECANIQUE"/>
    <s v="LARHIOUCH RACHID"/>
    <n v="40"/>
    <s v="Pb capteur de file "/>
    <s v="reglage palpeur de capteur de file "/>
    <s v="Terminer"/>
    <s v="RAS"/>
  </r>
  <r>
    <d v="2025-02-05T00:00:00"/>
    <x v="0"/>
    <x v="0"/>
    <s v="Mohamed BENDAOUD"/>
    <x v="2"/>
    <x v="14"/>
    <m/>
    <s v="MECANIQUE"/>
    <s v="Smail EL MOHAMADI"/>
    <n v="35"/>
    <s v="Pb bobonage NOK"/>
    <s v="change et ajustage position d'aiguille "/>
    <s v="Terminer"/>
    <s v="RAS"/>
  </r>
  <r>
    <d v="2025-02-05T00:00:00"/>
    <x v="0"/>
    <x v="0"/>
    <s v="Mohamed BENDAOUD"/>
    <x v="1"/>
    <x v="22"/>
    <m/>
    <s v="MECANIQUE"/>
    <s v="LARHIOUCH RACHID"/>
    <n v="35"/>
    <s v="Pb decalage"/>
    <s v="Réglage position de table"/>
    <s v="Terminer"/>
    <s v="RAS"/>
  </r>
  <r>
    <d v="2025-02-06T00:00:00"/>
    <x v="0"/>
    <x v="0"/>
    <s v="Mohamed BENDAOUD"/>
    <x v="0"/>
    <x v="16"/>
    <s v="2266450-2"/>
    <s v="MECANIQUE"/>
    <s v="BEN DAOUD MOHAMED"/>
    <n v="40"/>
    <s v="pb applicateur"/>
    <s v="ajustement mecanique"/>
    <s v="Terminer"/>
    <s v="RAS"/>
  </r>
  <r>
    <d v="2025-02-06T00:00:00"/>
    <x v="0"/>
    <x v="0"/>
    <s v="Mohamed BENDAOUD"/>
    <x v="0"/>
    <x v="23"/>
    <m/>
    <s v="PARAMETRES"/>
    <s v="BEN DAOUD MOHAMED"/>
    <n v="35"/>
    <s v="pb denedage"/>
    <s v="reglage de parametre"/>
    <s v="Terminer"/>
    <s v="RAS"/>
  </r>
  <r>
    <d v="2025-02-06T00:00:00"/>
    <x v="0"/>
    <x v="0"/>
    <s v="Mohamed BENDAOUD"/>
    <x v="0"/>
    <x v="5"/>
    <s v="contrôle"/>
    <s v="ELECTRIQUE"/>
    <s v="LAHOUCINE LMBARKI"/>
    <n v="60"/>
    <s v="pb pin "/>
    <s v="changement pin et reglage contre piece"/>
    <s v="Terminer"/>
    <s v="RAS"/>
  </r>
  <r>
    <d v="2025-02-06T00:00:00"/>
    <x v="0"/>
    <x v="0"/>
    <s v="Mohamed BENDAOUD"/>
    <x v="0"/>
    <x v="5"/>
    <s v="SIEMENS"/>
    <s v="ELECTRIQUE"/>
    <s v="LAHOUCINE LMBARKI"/>
    <n v="35"/>
    <s v="pb adapteur"/>
    <s v="changement pin casse"/>
    <s v="Terminer"/>
    <s v="RAS"/>
  </r>
  <r>
    <d v="2025-02-06T00:00:00"/>
    <x v="0"/>
    <x v="0"/>
    <s v="Mohamed BENDAOUD"/>
    <x v="0"/>
    <x v="5"/>
    <s v="ligne8"/>
    <s v="ELECTRIQUE"/>
    <s v="BEN DAOUD MOHAMED"/>
    <n v="30"/>
    <s v="pb adapteur"/>
    <s v="reglage contre piece"/>
    <s v="Terminer"/>
    <s v="RAS"/>
  </r>
  <r>
    <d v="2025-02-06T00:00:00"/>
    <x v="0"/>
    <x v="0"/>
    <s v="Mohamed BENDAOUD"/>
    <x v="0"/>
    <x v="24"/>
    <m/>
    <s v="MECANIQUE"/>
    <s v="BEN DAOUD MOHAMED"/>
    <n v="40"/>
    <s v="pb denedage"/>
    <s v="ajustement mecanique et reglage machine"/>
    <s v="Terminer"/>
    <s v="RAS"/>
  </r>
  <r>
    <d v="2025-02-06T00:00:00"/>
    <x v="0"/>
    <x v="0"/>
    <s v="Mohamed BENDAOUD"/>
    <x v="0"/>
    <x v="25"/>
    <m/>
    <s v="PARAMETRES"/>
    <s v="BEN DAOUD MOHAMED"/>
    <n v="20"/>
    <s v="pb sertissage"/>
    <s v="reglage palpeur de capteur de file "/>
    <s v="Terminer"/>
    <s v="RAS"/>
  </r>
  <r>
    <d v="2025-02-06T00:00:00"/>
    <x v="0"/>
    <x v="0"/>
    <s v="Mohamed BENDAOUD"/>
    <x v="0"/>
    <x v="26"/>
    <m/>
    <s v="PARAMETRES"/>
    <s v="BEN DAOUD MOHAMED"/>
    <n v="25"/>
    <s v="pb soudage"/>
    <s v="reglage des pieces de soudage"/>
    <s v="Terminer"/>
    <s v="RAS"/>
  </r>
  <r>
    <d v="2025-02-06T00:00:00"/>
    <x v="0"/>
    <x v="0"/>
    <s v="Mohamed BENDAOUD"/>
    <x v="1"/>
    <x v="10"/>
    <m/>
    <s v="MECANIQUE"/>
    <s v="Smail EL MOHAMADI"/>
    <n v="40"/>
    <s v="pb convoyeur"/>
    <s v="reglage d'acoplement retatif"/>
    <s v="Terminer"/>
    <s v="RAS"/>
  </r>
  <r>
    <d v="2025-02-06T00:00:00"/>
    <x v="0"/>
    <x v="0"/>
    <s v="Mohamed BENDAOUD"/>
    <x v="1"/>
    <x v="7"/>
    <m/>
    <s v="MECANIQUE"/>
    <s v="ZOUBAIR LAMRABAT"/>
    <n v="260"/>
    <s v="pb posage et chaine"/>
    <s v="reglage de courois et synchronisation"/>
    <s v="Terminer"/>
    <s v="RAS"/>
  </r>
  <r>
    <d v="2025-02-06T00:00:00"/>
    <x v="0"/>
    <x v="0"/>
    <s v="Mohamed BENDAOUD"/>
    <x v="1"/>
    <x v="19"/>
    <m/>
    <s v="PNEUMATIQUE"/>
    <s v="ZOUBAIR LAMRABAT"/>
    <n v="35"/>
    <s v="pb insertion rossort"/>
    <s v="reglage de verin 214"/>
    <s v="Terminer"/>
    <s v="RAS"/>
  </r>
  <r>
    <d v="2025-02-06T00:00:00"/>
    <x v="0"/>
    <x v="0"/>
    <s v="Mohamed BENDAOUD"/>
    <x v="1"/>
    <x v="27"/>
    <m/>
    <s v="PNEUMATIQUE"/>
    <s v="ZOUBAIR LAMRABAT"/>
    <n v="30"/>
    <s v="pb poste 26"/>
    <s v="changement raccord et reglage de poste barrette"/>
    <s v="Terminer"/>
    <s v="RAS"/>
  </r>
  <r>
    <d v="2025-02-06T00:00:00"/>
    <x v="0"/>
    <x v="0"/>
    <s v="Mohamed BENDAOUD"/>
    <x v="1"/>
    <x v="17"/>
    <m/>
    <s v="MECANIQUE"/>
    <s v="ZOUBAIR LAMRABAT"/>
    <n v="25"/>
    <s v="pb insertion "/>
    <s v="reglage mecainque"/>
    <s v="Terminer"/>
    <s v="RAS"/>
  </r>
  <r>
    <d v="2025-02-06T00:00:00"/>
    <x v="0"/>
    <x v="0"/>
    <s v="Mohamed BENDAOUD"/>
    <x v="2"/>
    <x v="12"/>
    <m/>
    <s v="MECANIQUE"/>
    <s v="Smail EL MOHAMADI"/>
    <n v="60"/>
    <s v="pb detecteur denedage"/>
    <s v="reglage detecteur et ajustement mecanique"/>
    <s v="Terminer"/>
    <s v="RAS"/>
  </r>
  <r>
    <d v="2025-02-06T00:00:00"/>
    <x v="0"/>
    <x v="0"/>
    <s v="Mohamed BENDAOUD"/>
    <x v="2"/>
    <x v="28"/>
    <m/>
    <s v="ELECTRIQUE"/>
    <s v="Smail EL MOHAMADI"/>
    <n v="20"/>
    <s v="pb resistance"/>
    <s v="inversement de carte et reglage parametre"/>
    <s v="Terminer"/>
    <s v="RAS"/>
  </r>
  <r>
    <d v="2025-02-06T00:00:00"/>
    <x v="0"/>
    <x v="0"/>
    <s v="Mohamed BENDAOUD"/>
    <x v="1"/>
    <x v="29"/>
    <m/>
    <s v="MECANIQUE"/>
    <s v="BEN DAOUD MOHAMED"/>
    <n v="20"/>
    <s v="pb porte de securiter"/>
    <s v="reglage de switch de securiter"/>
    <s v="Terminer"/>
    <s v="RAS"/>
  </r>
  <r>
    <d v="2025-02-06T00:00:00"/>
    <x v="0"/>
    <x v="0"/>
    <s v="Mohamed BENDAOUD"/>
    <x v="1"/>
    <x v="10"/>
    <m/>
    <s v="MECANIQUE"/>
    <s v="ZOUBAIR LAMRABAT"/>
    <n v="40"/>
    <s v="pb convoyeur et separateur"/>
    <s v="synchronisation de chaine et rotatif"/>
    <s v="Terminer"/>
    <s v="RAS"/>
  </r>
  <r>
    <d v="2025-02-06T00:00:00"/>
    <x v="0"/>
    <x v="0"/>
    <s v="Mohamed BENDAOUD"/>
    <x v="2"/>
    <x v="30"/>
    <m/>
    <s v="MECANIQUE"/>
    <s v="Smail EL MOHAMADI"/>
    <n v="30"/>
    <s v="pb aiguille"/>
    <s v="ajustement mecanique et suivi"/>
    <s v="Terminer"/>
    <s v="RAS"/>
  </r>
  <r>
    <d v="2025-02-07T00:00:00"/>
    <x v="0"/>
    <x v="0"/>
    <s v="Mohamed BENDAOUD"/>
    <x v="3"/>
    <x v="31"/>
    <m/>
    <m/>
    <m/>
    <m/>
    <m/>
    <m/>
    <m/>
    <s v="RAS"/>
  </r>
  <r>
    <d v="2025-02-07T00:00:00"/>
    <x v="0"/>
    <x v="0"/>
    <s v="Mohamed BENDAOUD"/>
    <x v="3"/>
    <x v="31"/>
    <m/>
    <m/>
    <m/>
    <m/>
    <m/>
    <m/>
    <m/>
    <s v="RAS"/>
  </r>
  <r>
    <d v="2025-02-07T00:00:00"/>
    <x v="0"/>
    <x v="0"/>
    <s v="Mohamed BENDAOUD"/>
    <x v="3"/>
    <x v="31"/>
    <m/>
    <m/>
    <m/>
    <m/>
    <m/>
    <m/>
    <m/>
    <s v="RAS"/>
  </r>
  <r>
    <d v="2025-02-07T00:00:00"/>
    <x v="0"/>
    <x v="0"/>
    <s v="Mohamed BENDAOUD"/>
    <x v="3"/>
    <x v="31"/>
    <m/>
    <m/>
    <m/>
    <m/>
    <m/>
    <m/>
    <m/>
    <s v="RAS"/>
  </r>
  <r>
    <d v="2025-02-07T00:00:00"/>
    <x v="0"/>
    <x v="0"/>
    <s v="Mohamed BENDAOUD"/>
    <x v="3"/>
    <x v="31"/>
    <m/>
    <m/>
    <m/>
    <m/>
    <m/>
    <m/>
    <m/>
    <s v="RAS"/>
  </r>
  <r>
    <d v="2025-02-07T00:00:00"/>
    <x v="0"/>
    <x v="0"/>
    <s v="Mohamed BENDAOUD"/>
    <x v="3"/>
    <x v="31"/>
    <m/>
    <m/>
    <m/>
    <m/>
    <m/>
    <m/>
    <m/>
    <s v="RAS"/>
  </r>
  <r>
    <d v="2025-02-07T00:00:00"/>
    <x v="0"/>
    <x v="0"/>
    <s v="Mohamed BENDAOUD"/>
    <x v="3"/>
    <x v="31"/>
    <m/>
    <m/>
    <m/>
    <m/>
    <m/>
    <m/>
    <m/>
    <s v="RAS"/>
  </r>
  <r>
    <d v="2025-02-07T00:00:00"/>
    <x v="0"/>
    <x v="0"/>
    <s v="Mohamed BENDAOUD"/>
    <x v="3"/>
    <x v="31"/>
    <m/>
    <m/>
    <m/>
    <m/>
    <m/>
    <m/>
    <m/>
    <s v="RAS"/>
  </r>
  <r>
    <d v="2025-02-07T00:00:00"/>
    <x v="0"/>
    <x v="0"/>
    <s v="Mohamed BENDAOUD"/>
    <x v="3"/>
    <x v="31"/>
    <m/>
    <m/>
    <m/>
    <m/>
    <m/>
    <m/>
    <m/>
    <s v="RAS"/>
  </r>
  <r>
    <d v="2025-02-07T00:00:00"/>
    <x v="0"/>
    <x v="0"/>
    <s v="Mohamed BENDAOUD"/>
    <x v="3"/>
    <x v="31"/>
    <m/>
    <m/>
    <m/>
    <m/>
    <m/>
    <m/>
    <m/>
    <s v="RAS"/>
  </r>
  <r>
    <d v="2025-02-07T00:00:00"/>
    <x v="0"/>
    <x v="0"/>
    <s v="Mohamed BENDAOUD"/>
    <x v="3"/>
    <x v="31"/>
    <m/>
    <m/>
    <m/>
    <m/>
    <m/>
    <m/>
    <m/>
    <s v="RAS"/>
  </r>
  <r>
    <d v="2025-02-07T00:00:00"/>
    <x v="0"/>
    <x v="0"/>
    <s v="Mohamed BENDAOUD"/>
    <x v="3"/>
    <x v="31"/>
    <m/>
    <m/>
    <m/>
    <m/>
    <m/>
    <m/>
    <m/>
    <s v="RAS"/>
  </r>
  <r>
    <d v="2025-02-08T00:00:00"/>
    <x v="0"/>
    <x v="0"/>
    <s v="Mohamed BENDAOUD"/>
    <x v="3"/>
    <x v="31"/>
    <m/>
    <m/>
    <m/>
    <m/>
    <m/>
    <m/>
    <m/>
    <s v="RAS"/>
  </r>
  <r>
    <d v="2025-02-08T00:00:00"/>
    <x v="0"/>
    <x v="0"/>
    <s v="Mohamed BENDAOUD"/>
    <x v="3"/>
    <x v="31"/>
    <m/>
    <m/>
    <m/>
    <m/>
    <m/>
    <m/>
    <m/>
    <s v="RAS"/>
  </r>
  <r>
    <d v="2025-02-08T00:00:00"/>
    <x v="0"/>
    <x v="0"/>
    <s v="Mohamed BENDAOUD"/>
    <x v="3"/>
    <x v="31"/>
    <m/>
    <m/>
    <m/>
    <m/>
    <m/>
    <m/>
    <m/>
    <s v="RAS"/>
  </r>
  <r>
    <d v="2025-02-08T00:00:00"/>
    <x v="0"/>
    <x v="0"/>
    <s v="Mohamed BENDAOUD"/>
    <x v="3"/>
    <x v="31"/>
    <m/>
    <m/>
    <m/>
    <m/>
    <m/>
    <m/>
    <m/>
    <s v="RAS"/>
  </r>
  <r>
    <d v="2025-02-08T00:00:00"/>
    <x v="0"/>
    <x v="0"/>
    <s v="Mohamed BENDAOUD"/>
    <x v="3"/>
    <x v="31"/>
    <m/>
    <m/>
    <m/>
    <m/>
    <m/>
    <m/>
    <m/>
    <s v="RAS"/>
  </r>
  <r>
    <d v="2025-02-08T00:00:00"/>
    <x v="0"/>
    <x v="0"/>
    <s v="Mohamed BENDAOUD"/>
    <x v="3"/>
    <x v="31"/>
    <m/>
    <m/>
    <m/>
    <m/>
    <m/>
    <m/>
    <m/>
    <s v="RAS"/>
  </r>
  <r>
    <d v="2025-02-08T00:00:00"/>
    <x v="0"/>
    <x v="0"/>
    <s v="Mohamed BENDAOUD"/>
    <x v="3"/>
    <x v="31"/>
    <m/>
    <m/>
    <m/>
    <m/>
    <m/>
    <m/>
    <m/>
    <s v="RAS"/>
  </r>
  <r>
    <d v="2025-02-08T00:00:00"/>
    <x v="0"/>
    <x v="0"/>
    <s v="Mohamed BENDAOUD"/>
    <x v="3"/>
    <x v="31"/>
    <m/>
    <m/>
    <m/>
    <m/>
    <m/>
    <m/>
    <m/>
    <s v="RAS"/>
  </r>
  <r>
    <d v="2025-02-08T00:00:00"/>
    <x v="0"/>
    <x v="0"/>
    <s v="Mohamed BENDAOUD"/>
    <x v="3"/>
    <x v="31"/>
    <m/>
    <m/>
    <m/>
    <m/>
    <m/>
    <m/>
    <m/>
    <s v="RAS"/>
  </r>
  <r>
    <d v="2025-02-08T00:00:00"/>
    <x v="0"/>
    <x v="0"/>
    <s v="Mohamed BENDAOUD"/>
    <x v="3"/>
    <x v="31"/>
    <m/>
    <m/>
    <m/>
    <m/>
    <m/>
    <m/>
    <m/>
    <s v="RAS"/>
  </r>
  <r>
    <d v="2025-02-08T00:00:00"/>
    <x v="0"/>
    <x v="0"/>
    <s v="Mohamed BENDAOUD"/>
    <x v="3"/>
    <x v="31"/>
    <m/>
    <m/>
    <m/>
    <m/>
    <m/>
    <m/>
    <m/>
    <s v="RAS"/>
  </r>
  <r>
    <d v="2025-02-09T00:00:00"/>
    <x v="1"/>
    <x v="0"/>
    <s v="Mohamed BENDAOUD"/>
    <x v="1"/>
    <x v="7"/>
    <m/>
    <s v="MECANIQUE"/>
    <s v="BEN DAOUD MOHAMED"/>
    <m/>
    <s v="pb decalage de chaine"/>
    <s v="changement de motoreducteur et synchronisation de chaine par rapport au courois"/>
    <s v="Terminer"/>
    <s v="RAS"/>
  </r>
  <r>
    <d v="2025-02-10T00:00:00"/>
    <x v="1"/>
    <x v="0"/>
    <s v="Mohamed BENDAOUD"/>
    <x v="1"/>
    <x v="27"/>
    <m/>
    <s v="MECANIQUE"/>
    <s v="ZOUBAIR LAMRABAT"/>
    <n v="350"/>
    <m/>
    <m/>
    <m/>
    <s v="RAS"/>
  </r>
  <r>
    <d v="2025-02-10T00:00:00"/>
    <x v="1"/>
    <x v="0"/>
    <s v="Mohamed BENDAOUD"/>
    <x v="1"/>
    <x v="18"/>
    <m/>
    <s v="ELECTRIQUE"/>
    <s v="ZOUBAIR LAMRABAT"/>
    <n v="460"/>
    <m/>
    <m/>
    <m/>
    <s v="RAS"/>
  </r>
  <r>
    <d v="2025-02-10T00:00:00"/>
    <x v="1"/>
    <x v="0"/>
    <s v="Mohamed BENDAOUD"/>
    <x v="1"/>
    <x v="10"/>
    <m/>
    <s v="ELECTRIQUE"/>
    <s v="Smail EL MOHAMADI"/>
    <n v="40"/>
    <m/>
    <m/>
    <m/>
    <s v="RAS"/>
  </r>
  <r>
    <d v="2025-02-10T00:00:00"/>
    <x v="1"/>
    <x v="0"/>
    <s v="Mohamed BENDAOUD"/>
    <x v="1"/>
    <x v="32"/>
    <m/>
    <s v="MECANIQUE"/>
    <s v="BEN DAOUD MOHAMED"/>
    <n v="25"/>
    <m/>
    <m/>
    <m/>
    <s v="RAS"/>
  </r>
  <r>
    <d v="2025-02-10T00:00:00"/>
    <x v="1"/>
    <x v="0"/>
    <s v="Mohamed BENDAOUD"/>
    <x v="1"/>
    <x v="33"/>
    <m/>
    <s v="MECANIQUE"/>
    <s v="Smail EL MOHAMADI"/>
    <n v="30"/>
    <s v="cuting raill"/>
    <m/>
    <m/>
    <s v="RAS"/>
  </r>
  <r>
    <d v="2025-02-10T00:00:00"/>
    <x v="1"/>
    <x v="0"/>
    <s v="Mohamed BENDAOUD"/>
    <x v="1"/>
    <x v="17"/>
    <m/>
    <s v="MECANIQUE"/>
    <s v="LARHIOUCH RACHID"/>
    <n v="25"/>
    <m/>
    <m/>
    <m/>
    <s v="RAS"/>
  </r>
  <r>
    <d v="2025-02-10T00:00:00"/>
    <x v="1"/>
    <x v="0"/>
    <s v="Mohamed BENDAOUD"/>
    <x v="1"/>
    <x v="17"/>
    <m/>
    <s v="MECANIQUE"/>
    <s v="ANAS MOUHCINE"/>
    <n v="25"/>
    <m/>
    <m/>
    <m/>
    <s v="RAS"/>
  </r>
  <r>
    <d v="2025-02-10T00:00:00"/>
    <x v="1"/>
    <x v="0"/>
    <s v="Mohamed BENDAOUD"/>
    <x v="1"/>
    <x v="17"/>
    <m/>
    <s v="MECANIQUE"/>
    <s v="ZOUBAIR LAMRABAT"/>
    <n v="25"/>
    <m/>
    <m/>
    <m/>
    <s v="RAS"/>
  </r>
  <r>
    <d v="2025-02-10T00:00:00"/>
    <x v="1"/>
    <x v="0"/>
    <s v="Mohamed BENDAOUD"/>
    <x v="1"/>
    <x v="10"/>
    <m/>
    <s v="ELECTRIQUE"/>
    <s v="Smail EL MOHAMADI"/>
    <n v="20"/>
    <m/>
    <m/>
    <m/>
    <s v="RAS"/>
  </r>
  <r>
    <d v="2025-02-10T00:00:00"/>
    <x v="1"/>
    <x v="0"/>
    <s v="Mohamed BENDAOUD"/>
    <x v="0"/>
    <x v="34"/>
    <m/>
    <s v="HYDRAULIQUE"/>
    <s v="ANAS MOUHCINE"/>
    <n v="50"/>
    <m/>
    <m/>
    <m/>
    <s v="RAS"/>
  </r>
  <r>
    <d v="2025-02-10T00:00:00"/>
    <x v="1"/>
    <x v="0"/>
    <s v="Mohamed BENDAOUD"/>
    <x v="0"/>
    <x v="35"/>
    <m/>
    <s v="MECANIQUE"/>
    <s v="ANAS MOUHCINE"/>
    <n v="35"/>
    <m/>
    <m/>
    <m/>
    <s v="RAS"/>
  </r>
  <r>
    <d v="2025-02-10T00:00:00"/>
    <x v="1"/>
    <x v="0"/>
    <s v="Mohamed BENDAOUD"/>
    <x v="0"/>
    <x v="5"/>
    <m/>
    <s v="MECANIQUE"/>
    <s v="ANAS MOUHCINE"/>
    <n v="15"/>
    <s v="pb teste ligne 8"/>
    <m/>
    <m/>
    <s v="RAS"/>
  </r>
  <r>
    <d v="2025-02-10T00:00:00"/>
    <x v="1"/>
    <x v="0"/>
    <s v="Mohamed BENDAOUD"/>
    <x v="0"/>
    <x v="36"/>
    <m/>
    <s v="PNEUMATIQUE"/>
    <s v="ANAS MOUHCINE"/>
    <n v="40"/>
    <m/>
    <m/>
    <m/>
    <s v="RAS"/>
  </r>
  <r>
    <d v="2025-02-10T00:00:00"/>
    <x v="1"/>
    <x v="0"/>
    <s v="Mohamed BENDAOUD"/>
    <x v="2"/>
    <x v="12"/>
    <m/>
    <s v="MECANIQUE"/>
    <s v="ANAS MOUHCINE"/>
    <n v="35"/>
    <m/>
    <m/>
    <m/>
    <s v="RAS"/>
  </r>
  <r>
    <d v="2025-02-10T00:00:00"/>
    <x v="1"/>
    <x v="0"/>
    <s v="Mohamed BENDAOUD"/>
    <x v="0"/>
    <x v="16"/>
    <m/>
    <s v="MECANIQUE"/>
    <s v="ANAS MOUHCINE"/>
    <n v="25"/>
    <m/>
    <m/>
    <m/>
    <s v="RAS"/>
  </r>
  <r>
    <d v="2025-02-10T00:00:00"/>
    <x v="1"/>
    <x v="0"/>
    <s v="Mohamed BENDAOUD"/>
    <x v="0"/>
    <x v="37"/>
    <m/>
    <s v="ELECTRONIQUE"/>
    <s v="LARHIOUCH RACHID"/>
    <n v="30"/>
    <m/>
    <m/>
    <m/>
    <s v="RAS"/>
  </r>
  <r>
    <d v="2025-02-10T00:00:00"/>
    <x v="1"/>
    <x v="0"/>
    <s v="Mohamed BENDAOUD"/>
    <x v="0"/>
    <x v="21"/>
    <m/>
    <s v="ELECTRONIQUE"/>
    <s v="LARHIOUCH RACHID"/>
    <n v="35"/>
    <m/>
    <m/>
    <m/>
    <s v="RAS"/>
  </r>
  <r>
    <d v="2025-02-10T00:00:00"/>
    <x v="1"/>
    <x v="0"/>
    <s v="Mohamed BENDAOUD"/>
    <x v="0"/>
    <x v="24"/>
    <m/>
    <s v="PNEUMATIQUE"/>
    <s v="LARHIOUCH RACHID"/>
    <n v="30"/>
    <m/>
    <m/>
    <m/>
    <s v="RAS"/>
  </r>
  <r>
    <d v="2025-02-10T00:00:00"/>
    <x v="1"/>
    <x v="0"/>
    <s v="Mohamed BENDAOUD"/>
    <x v="0"/>
    <x v="35"/>
    <m/>
    <s v="MECANIQUE"/>
    <s v="LARHIOUCH RACHID"/>
    <n v="25"/>
    <m/>
    <m/>
    <m/>
    <s v="RAS"/>
  </r>
  <r>
    <d v="2025-02-10T00:00:00"/>
    <x v="1"/>
    <x v="0"/>
    <s v="Mohamed BENDAOUD"/>
    <x v="2"/>
    <x v="38"/>
    <m/>
    <m/>
    <m/>
    <m/>
    <m/>
    <m/>
    <m/>
    <s v="RAS"/>
  </r>
  <r>
    <d v="2025-02-10T00:00:00"/>
    <x v="1"/>
    <x v="0"/>
    <s v="Mohamed BENDAOUD"/>
    <x v="2"/>
    <x v="12"/>
    <m/>
    <m/>
    <m/>
    <m/>
    <m/>
    <m/>
    <m/>
    <s v="RAS"/>
  </r>
  <r>
    <d v="2025-02-10T00:00:00"/>
    <x v="1"/>
    <x v="0"/>
    <s v="Mohamed BENDAOUD"/>
    <x v="2"/>
    <x v="39"/>
    <m/>
    <m/>
    <m/>
    <m/>
    <m/>
    <m/>
    <m/>
    <s v="RAS"/>
  </r>
  <r>
    <d v="2025-02-10T00:00:00"/>
    <x v="1"/>
    <x v="0"/>
    <s v="Mohamed BENDAOUD"/>
    <x v="2"/>
    <x v="31"/>
    <m/>
    <m/>
    <m/>
    <m/>
    <m/>
    <m/>
    <m/>
    <s v="RAS"/>
  </r>
  <r>
    <d v="2025-02-10T00:00:00"/>
    <x v="1"/>
    <x v="0"/>
    <s v="Mohamed BENDAOUD"/>
    <x v="2"/>
    <x v="31"/>
    <m/>
    <m/>
    <m/>
    <m/>
    <m/>
    <m/>
    <m/>
    <s v="RAS"/>
  </r>
  <r>
    <d v="2025-02-10T00:00:00"/>
    <x v="1"/>
    <x v="0"/>
    <s v="Mohamed BENDAOUD"/>
    <x v="2"/>
    <x v="31"/>
    <m/>
    <m/>
    <m/>
    <m/>
    <m/>
    <m/>
    <m/>
    <s v="RAS"/>
  </r>
  <r>
    <d v="2025-02-11T00:00:00"/>
    <x v="1"/>
    <x v="0"/>
    <s v="Mohamed BENDAOUD"/>
    <x v="0"/>
    <x v="40"/>
    <m/>
    <m/>
    <s v="BEN DAOUD MOHAMED"/>
    <n v="15"/>
    <m/>
    <m/>
    <m/>
    <s v="RAS"/>
  </r>
  <r>
    <d v="2025-02-11T00:00:00"/>
    <x v="1"/>
    <x v="0"/>
    <s v="Mohamed BENDAOUD"/>
    <x v="0"/>
    <x v="41"/>
    <m/>
    <m/>
    <s v="ANAS MOUHCINE"/>
    <n v="10"/>
    <m/>
    <m/>
    <m/>
    <s v="RAS"/>
  </r>
  <r>
    <d v="2025-02-11T00:00:00"/>
    <x v="1"/>
    <x v="0"/>
    <s v="Mohamed BENDAOUD"/>
    <x v="0"/>
    <x v="35"/>
    <m/>
    <m/>
    <s v="ANAS MOUHCINE"/>
    <n v="10"/>
    <m/>
    <m/>
    <m/>
    <s v="RAS"/>
  </r>
  <r>
    <d v="2025-02-11T00:00:00"/>
    <x v="1"/>
    <x v="0"/>
    <s v="Mohamed BENDAOUD"/>
    <x v="0"/>
    <x v="35"/>
    <m/>
    <m/>
    <s v="ANAS MOUHCINE"/>
    <n v="20"/>
    <m/>
    <m/>
    <m/>
    <s v="RAS"/>
  </r>
  <r>
    <d v="2025-02-11T00:00:00"/>
    <x v="1"/>
    <x v="0"/>
    <s v="Mohamed BENDAOUD"/>
    <x v="0"/>
    <x v="24"/>
    <m/>
    <m/>
    <s v="ANAS MOUHCINE"/>
    <n v="10"/>
    <m/>
    <m/>
    <m/>
    <s v="RAS"/>
  </r>
  <r>
    <d v="2025-02-11T00:00:00"/>
    <x v="1"/>
    <x v="0"/>
    <s v="Mohamed BENDAOUD"/>
    <x v="0"/>
    <x v="26"/>
    <m/>
    <m/>
    <s v="ANAS MOUHCINE"/>
    <n v="10"/>
    <m/>
    <m/>
    <m/>
    <s v="RAS"/>
  </r>
  <r>
    <d v="2025-02-11T00:00:00"/>
    <x v="1"/>
    <x v="0"/>
    <s v="Mohamed BENDAOUD"/>
    <x v="1"/>
    <x v="33"/>
    <m/>
    <m/>
    <s v="ANAS MOUHCINE"/>
    <n v="45"/>
    <m/>
    <m/>
    <m/>
    <s v="RAS"/>
  </r>
  <r>
    <d v="2025-02-11T00:00:00"/>
    <x v="1"/>
    <x v="0"/>
    <s v="Mohamed BENDAOUD"/>
    <x v="1"/>
    <x v="10"/>
    <m/>
    <m/>
    <s v="ZOUBAIR LAMRABAT"/>
    <n v="20"/>
    <m/>
    <m/>
    <m/>
    <s v="RAS"/>
  </r>
  <r>
    <d v="2025-02-11T00:00:00"/>
    <x v="1"/>
    <x v="0"/>
    <s v="Mohamed BENDAOUD"/>
    <x v="1"/>
    <x v="17"/>
    <m/>
    <m/>
    <s v="ANAS MOUHCINE"/>
    <n v="20"/>
    <m/>
    <m/>
    <m/>
    <s v="RAS"/>
  </r>
  <r>
    <d v="2025-02-11T00:00:00"/>
    <x v="1"/>
    <x v="0"/>
    <s v="Mohamed BENDAOUD"/>
    <x v="1"/>
    <x v="17"/>
    <m/>
    <m/>
    <s v="LARHIOUCH RACHID"/>
    <n v="25"/>
    <m/>
    <m/>
    <m/>
    <s v="RAS"/>
  </r>
  <r>
    <d v="2025-02-11T00:00:00"/>
    <x v="1"/>
    <x v="0"/>
    <s v="Mohamed BENDAOUD"/>
    <x v="2"/>
    <x v="39"/>
    <m/>
    <m/>
    <s v="Smail EL MOHAMADI"/>
    <n v="15"/>
    <m/>
    <m/>
    <m/>
    <s v="RAS"/>
  </r>
  <r>
    <d v="2025-02-11T00:00:00"/>
    <x v="1"/>
    <x v="0"/>
    <s v="Mohamed BENDAOUD"/>
    <x v="2"/>
    <x v="12"/>
    <m/>
    <m/>
    <s v="Smail EL MOHAMADI"/>
    <n v="20"/>
    <m/>
    <m/>
    <m/>
    <s v="RAS"/>
  </r>
  <r>
    <d v="2025-02-12T00:00:00"/>
    <x v="1"/>
    <x v="0"/>
    <s v="Mohamed BENDAOUD"/>
    <x v="0"/>
    <x v="5"/>
    <m/>
    <m/>
    <s v="LARHIOUCH RACHID"/>
    <n v="35"/>
    <m/>
    <m/>
    <m/>
    <s v="RAS"/>
  </r>
  <r>
    <d v="2025-02-13T00:00:00"/>
    <x v="1"/>
    <x v="0"/>
    <s v="Mohamed BENDAOUD"/>
    <x v="0"/>
    <x v="24"/>
    <m/>
    <m/>
    <s v="LARHIOUCH RACHID"/>
    <n v="25"/>
    <m/>
    <m/>
    <m/>
    <s v="RAS"/>
  </r>
  <r>
    <d v="2025-02-14T00:00:00"/>
    <x v="1"/>
    <x v="0"/>
    <s v="Mohamed BENDAOUD"/>
    <x v="0"/>
    <x v="35"/>
    <m/>
    <m/>
    <s v="LARHIOUCH RACHID"/>
    <n v="25"/>
    <m/>
    <m/>
    <m/>
    <s v="RAS"/>
  </r>
  <r>
    <d v="2025-02-15T00:00:00"/>
    <x v="1"/>
    <x v="0"/>
    <s v="Mohamed BENDAOUD"/>
    <x v="2"/>
    <x v="38"/>
    <m/>
    <m/>
    <s v="Smail EL MOHAMADI"/>
    <n v="30"/>
    <m/>
    <m/>
    <m/>
    <s v="RAS"/>
  </r>
  <r>
    <d v="2025-02-16T00:00:00"/>
    <x v="2"/>
    <x v="0"/>
    <s v="Mohamed BENDAOUD"/>
    <x v="1"/>
    <x v="7"/>
    <m/>
    <m/>
    <s v="BEN DAOUD MOHAMED"/>
    <n v="350"/>
    <m/>
    <m/>
    <m/>
    <s v="RAS"/>
  </r>
  <r>
    <d v="2025-02-17T00:00:00"/>
    <x v="2"/>
    <x v="0"/>
    <s v="Mohamed BENDAOUD"/>
    <x v="1"/>
    <x v="8"/>
    <m/>
    <m/>
    <s v="ZOUBAIR LAMRABAT"/>
    <n v="20"/>
    <m/>
    <m/>
    <m/>
    <s v="RAS"/>
  </r>
  <r>
    <d v="2025-02-18T00:00:00"/>
    <x v="2"/>
    <x v="0"/>
    <s v="Mohamed BENDAOUD"/>
    <x v="1"/>
    <x v="18"/>
    <m/>
    <m/>
    <s v="BEN DAOUD MOHAMED"/>
    <n v="40"/>
    <m/>
    <m/>
    <m/>
    <s v="RAS"/>
  </r>
  <r>
    <d v="2025-02-19T00:00:00"/>
    <x v="2"/>
    <x v="0"/>
    <s v="Mohamed BENDAOUD"/>
    <x v="1"/>
    <x v="27"/>
    <m/>
    <m/>
    <s v="ZOUBAIR LAMRABAT"/>
    <n v="300"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3E559B-30D1-471F-A5DE-6E7BC7B732CA}" name="PivotTable2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3:B56" firstHeaderRow="1" firstDataRow="1" firstDataCol="1" rowPageCount="2" colPageCount="1"/>
  <pivotFields count="14">
    <pivotField showAll="0"/>
    <pivotField axis="axisPage" showAll="0">
      <items count="227">
        <item m="1" x="4"/>
        <item m="1" x="5"/>
        <item m="1" x="6"/>
        <item m="1" x="7"/>
        <item m="1" x="8"/>
        <item x="0"/>
        <item x="1"/>
        <item x="2"/>
        <item m="1" x="9"/>
        <item m="1" x="10"/>
        <item m="1" x="11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x="3"/>
        <item t="default"/>
      </items>
    </pivotField>
    <pivotField axis="axisPage" showAll="0">
      <items count="6">
        <item x="1"/>
        <item x="0"/>
        <item m="1" x="2"/>
        <item m="1" x="3"/>
        <item m="1" x="4"/>
        <item t="default"/>
      </items>
    </pivotField>
    <pivotField showAll="0"/>
    <pivotField showAll="0"/>
    <pivotField axis="axisRow" showAll="0" sortType="descending">
      <items count="71">
        <item x="34"/>
        <item x="0"/>
        <item m="1" x="47"/>
        <item x="7"/>
        <item x="9"/>
        <item m="1" x="59"/>
        <item x="36"/>
        <item x="40"/>
        <item m="1" x="55"/>
        <item m="1" x="65"/>
        <item x="11"/>
        <item x="6"/>
        <item x="24"/>
        <item x="25"/>
        <item x="23"/>
        <item x="16"/>
        <item m="1" x="57"/>
        <item m="1" x="62"/>
        <item x="13"/>
        <item m="1" x="69"/>
        <item m="1" x="58"/>
        <item x="27"/>
        <item m="1" x="46"/>
        <item x="4"/>
        <item x="3"/>
        <item m="1" x="61"/>
        <item m="1" x="43"/>
        <item x="37"/>
        <item x="41"/>
        <item x="17"/>
        <item m="1" x="64"/>
        <item m="1" x="54"/>
        <item x="10"/>
        <item m="1" x="45"/>
        <item m="1" x="63"/>
        <item x="5"/>
        <item m="1" x="48"/>
        <item m="1" x="56"/>
        <item m="1" x="60"/>
        <item x="2"/>
        <item m="1" x="53"/>
        <item m="1" x="52"/>
        <item m="1" x="66"/>
        <item m="1" x="67"/>
        <item m="1" x="68"/>
        <item m="1" x="49"/>
        <item m="1" x="50"/>
        <item x="14"/>
        <item m="1" x="51"/>
        <item x="19"/>
        <item x="15"/>
        <item x="8"/>
        <item x="31"/>
        <item m="1" x="42"/>
        <item m="1" x="44"/>
        <item x="21"/>
        <item x="26"/>
        <item x="1"/>
        <item x="12"/>
        <item x="18"/>
        <item x="20"/>
        <item x="22"/>
        <item x="28"/>
        <item x="29"/>
        <item x="30"/>
        <item x="32"/>
        <item x="33"/>
        <item x="35"/>
        <item x="38"/>
        <item x="3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5"/>
  </rowFields>
  <rowItems count="43">
    <i>
      <x v="3"/>
    </i>
    <i>
      <x v="21"/>
    </i>
    <i>
      <x v="59"/>
    </i>
    <i>
      <x v="32"/>
    </i>
    <i>
      <x v="35"/>
    </i>
    <i>
      <x v="15"/>
    </i>
    <i>
      <x v="57"/>
    </i>
    <i>
      <x v="58"/>
    </i>
    <i>
      <x v="29"/>
    </i>
    <i>
      <x v="51"/>
    </i>
    <i>
      <x v="67"/>
    </i>
    <i>
      <x v="12"/>
    </i>
    <i>
      <x v="47"/>
    </i>
    <i>
      <x v="1"/>
    </i>
    <i>
      <x v="10"/>
    </i>
    <i>
      <x v="66"/>
    </i>
    <i>
      <x v="55"/>
    </i>
    <i>
      <x v="11"/>
    </i>
    <i>
      <x/>
    </i>
    <i>
      <x v="24"/>
    </i>
    <i>
      <x v="49"/>
    </i>
    <i>
      <x v="6"/>
    </i>
    <i>
      <x v="14"/>
    </i>
    <i>
      <x v="61"/>
    </i>
    <i>
      <x v="56"/>
    </i>
    <i>
      <x v="39"/>
    </i>
    <i>
      <x v="64"/>
    </i>
    <i>
      <x v="23"/>
    </i>
    <i>
      <x v="68"/>
    </i>
    <i>
      <x v="27"/>
    </i>
    <i>
      <x v="50"/>
    </i>
    <i>
      <x v="65"/>
    </i>
    <i>
      <x v="4"/>
    </i>
    <i>
      <x v="60"/>
    </i>
    <i>
      <x v="18"/>
    </i>
    <i>
      <x v="13"/>
    </i>
    <i>
      <x v="62"/>
    </i>
    <i>
      <x v="63"/>
    </i>
    <i>
      <x v="69"/>
    </i>
    <i>
      <x v="7"/>
    </i>
    <i>
      <x v="28"/>
    </i>
    <i>
      <x v="52"/>
    </i>
    <i t="grand">
      <x/>
    </i>
  </rowItems>
  <colItems count="1">
    <i/>
  </colItems>
  <pageFields count="2">
    <pageField fld="2" hier="-1"/>
    <pageField fld="1" hier="-1"/>
  </pageFields>
  <dataFields count="1">
    <dataField name="Sum of Durée de l'Arrêt_x000a_(min)" fld="9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407B3FC-5F12-4086-8467-99886F47FB0F}" name="Table10" displayName="Table10" ref="A5:N232" totalsRowShown="0" headerRowDxfId="38" dataDxfId="36" headerRowBorderDxfId="37" tableBorderDxfId="35">
  <autoFilter ref="A5:N232" xr:uid="{E407B3FC-5F12-4086-8467-99886F47FB0F}"/>
  <sortState xmlns:xlrd2="http://schemas.microsoft.com/office/spreadsheetml/2017/richdata2" ref="A6:N232">
    <sortCondition descending="1" ref="B5:B232"/>
  </sortState>
  <tableColumns count="14">
    <tableColumn id="1" xr3:uid="{67B1A2BE-1C8F-4A5B-8D21-C4CFF368AACD}" name="Date " dataDxfId="34"/>
    <tableColumn id="2" xr3:uid="{F4126F8D-AEDB-42C8-8C6E-5202E6F737EF}" name="Semaine" dataDxfId="0">
      <calculatedColumnFormula>WEEKNUM(Table10[[#This Row],[Date ]])</calculatedColumnFormula>
    </tableColumn>
    <tableColumn id="3" xr3:uid="{616196BA-0D1A-4ECA-92D7-BC33317943CD}" name="Mois" dataDxfId="33"/>
    <tableColumn id="4" xr3:uid="{4F941F42-34E3-4443-A3D8-56E0FA6BC2AA}" name="Shift" dataDxfId="32"/>
    <tableColumn id="5" xr3:uid="{B01BB1FA-FB20-4B46-8812-E37282547934}" name="PROJET" dataDxfId="31"/>
    <tableColumn id="6" xr3:uid="{F6914F02-7029-464C-9858-5B706F7F31DF}" name="Machine" dataDxfId="30"/>
    <tableColumn id="7" xr3:uid="{B0880136-3E01-4E6C-BCF1-F6FAB0B5ABE8}" name="Outil _x000a_(Applicateur, Test, Tableau, Press manuelle)" dataDxfId="29"/>
    <tableColumn id="8" xr3:uid="{6F19D1C1-8CFA-4A57-82FD-D6F310447866}" name="Type d'intervention" dataDxfId="28"/>
    <tableColumn id="9" xr3:uid="{7F7D7C1C-F645-4288-AA5C-4DBACE2CCBBF}" name="Intervenant" dataDxfId="27"/>
    <tableColumn id="10" xr3:uid="{3C5D6F7D-5E1A-4CD8-BA00-CFA7E2B13739}" name="Durée de l'Arrêt_x000a_(min)" dataDxfId="26"/>
    <tableColumn id="11" xr3:uid="{3D104ECA-B535-4D4A-B54A-2A29D8955241}" name="Problème" dataDxfId="25"/>
    <tableColumn id="12" xr3:uid="{D8996BFF-BB49-41F1-87C0-A29830BF1D51}" name="Détails de l'intervention" dataDxfId="24"/>
    <tableColumn id="13" xr3:uid="{9E3A489C-D83A-4622-92E7-C7ED49DF7F28}" name="Status Intervention" dataDxfId="23"/>
    <tableColumn id="14" xr3:uid="{5D2E4DE1-302B-4D53-B97B-351B3AF9544F}" name="Risque de Sécurité (après l'intervention Maintenance) " dataDxfId="2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AA16268-8136-49CF-B5BA-0069E5AECEDA}" name="Table3" displayName="Table3" ref="C13:C67" totalsRowShown="0">
  <autoFilter ref="C13:C67" xr:uid="{5AA16268-8136-49CF-B5BA-0069E5AECEDA}"/>
  <tableColumns count="1">
    <tableColumn id="1" xr3:uid="{A3928D73-DC69-45A6-88E1-D0146CD1BFC1}" name="%" dataDxfId="21">
      <calculatedColumnFormula>B14/SUM($B$14:$B$66)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15EDFE4-3151-42A3-AB5E-0AB496FB94FC}" name="Intervenant" displayName="Intervenant" ref="A8:F23" totalsRowShown="0" headerRowDxfId="20" dataDxfId="18" headerRowBorderDxfId="19" tableBorderDxfId="17">
  <autoFilter ref="A8:F23" xr:uid="{915EDFE4-3151-42A3-AB5E-0AB496FB94FC}"/>
  <tableColumns count="6">
    <tableColumn id="1" xr3:uid="{E6EA78A4-F04A-4941-82C5-372D9713D26B}" name="Intervenant" dataDxfId="16"/>
    <tableColumn id="2" xr3:uid="{1B05DDEF-65AD-433D-9F5D-ACD7BAEAE3A4}" name="Status intervention" dataDxfId="15"/>
    <tableColumn id="3" xr3:uid="{0B1DF500-08E2-4268-93A0-092F9390A54E}" name="type d'arrêt" dataDxfId="14"/>
    <tableColumn id="6" xr3:uid="{6C19FE80-DC28-4D80-BA61-71B2E8353717}" name="TYPE D'INTERVENTION" dataDxfId="13"/>
    <tableColumn id="4" xr3:uid="{986D5B13-855C-41DE-B0F0-688B85CE6953}" name="Shift" dataDxfId="12"/>
    <tableColumn id="5" xr3:uid="{25109C13-276F-4731-BEC6-66DE1040346F}" name="Projet" dataDxfId="11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8B3C9E-B04D-435F-BD17-C9E6FC3428DA}" name="Table1" displayName="Table1" ref="H8:U35" totalsRowShown="0" headerRowDxfId="10" headerRowBorderDxfId="9" tableBorderDxfId="8">
  <autoFilter ref="H8:U35" xr:uid="{1B8B3C9E-B04D-435F-BD17-C9E6FC3428DA}"/>
  <tableColumns count="14">
    <tableColumn id="1" xr3:uid="{2B9652C3-EC1D-4E72-9AFF-DB80EC19937F}" name="Cable"/>
    <tableColumn id="2" xr3:uid="{28C42809-4EB0-491F-87A7-440DD5379541}" name="BTB" dataDxfId="7"/>
    <tableColumn id="3" xr3:uid="{3F1F28AA-6576-497F-987E-BE11235D9BB5}" name="IDC"/>
    <tableColumn id="4" xr3:uid="{01373FEB-823D-4EA2-947E-84C9FFEF6447}" name="Maxibridge_Female"/>
    <tableColumn id="5" xr3:uid="{EF9E9495-88F6-4872-8D83-6E3A80E8B612}" name="MCB_Female"/>
    <tableColumn id="6" xr3:uid="{09A2772B-C47C-4F96-AE44-576B1CCBF39E}" name="MCB_Male"/>
    <tableColumn id="7" xr3:uid="{0D528C35-DFC7-4FB1-8050-05F6C0AD68F6}" name="MCC_180_Female"/>
    <tableColumn id="8" xr3:uid="{73164B3A-1E92-401F-AACC-978F623D168A}" name="MCC_180_Male"/>
    <tableColumn id="9" xr3:uid="{2AC4C80B-F135-4278-B07A-EDD0D1A548D9}" name="MCC_90_Female"/>
    <tableColumn id="10" xr3:uid="{57FE9C48-EDDC-48B4-8738-4FE2475E4006}" name="MCC_90_Male"/>
    <tableColumn id="11" xr3:uid="{26A1B0C2-3D94-4526-A9C7-E190936A13EE}" name="MCC_90_Male_Female"/>
    <tableColumn id="12" xr3:uid="{296BC2ED-9E13-43ED-8605-FDAD190CAF7B}" name="Power_Connector"/>
    <tableColumn id="13" xr3:uid="{7B51ACD1-5522-4C60-96EE-7028AE2DA35A}" name="RWB_Female"/>
    <tableColumn id="14" xr3:uid="{9D5BB923-1119-4BA6-AE15-53201F1346FB}" name="RWB Ma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07DB7-DAF4-4D80-9EAE-2EADA840A332}">
  <dimension ref="A1:N232"/>
  <sheetViews>
    <sheetView showGridLines="0" tabSelected="1" zoomScale="70" zoomScaleNormal="70" zoomScaleSheetLayoutView="124" workbookViewId="0">
      <pane ySplit="5" topLeftCell="A6" activePane="bottomLeft" state="frozen"/>
      <selection pane="bottomLeft" activeCell="H14" sqref="H14"/>
    </sheetView>
  </sheetViews>
  <sheetFormatPr defaultColWidth="9.1796875" defaultRowHeight="14.5" x14ac:dyDescent="0.35"/>
  <cols>
    <col min="1" max="1" width="14.54296875" bestFit="1" customWidth="1"/>
    <col min="2" max="2" width="11.54296875" customWidth="1"/>
    <col min="3" max="3" width="8" bestFit="1" customWidth="1"/>
    <col min="4" max="4" width="11.6328125" customWidth="1"/>
    <col min="5" max="5" width="18.81640625" style="37" customWidth="1"/>
    <col min="6" max="6" width="26.1796875" customWidth="1"/>
    <col min="7" max="7" width="17" style="38" customWidth="1"/>
    <col min="8" max="8" width="18.54296875" customWidth="1"/>
    <col min="9" max="9" width="21.453125" customWidth="1"/>
    <col min="10" max="10" width="12.26953125" customWidth="1"/>
    <col min="11" max="11" width="34.54296875" style="37" customWidth="1"/>
    <col min="12" max="12" width="38.81640625" style="37" customWidth="1"/>
    <col min="14" max="14" width="13.7265625" customWidth="1"/>
  </cols>
  <sheetData>
    <row r="1" spans="1:14" ht="21.5" thickBot="1" x14ac:dyDescent="0.4">
      <c r="A1" s="52" t="s">
        <v>0</v>
      </c>
      <c r="B1" s="53"/>
      <c r="C1" s="54"/>
      <c r="D1" s="43" t="s">
        <v>1</v>
      </c>
      <c r="E1" s="44"/>
      <c r="F1" s="44"/>
      <c r="G1" s="44"/>
      <c r="H1" s="44"/>
      <c r="I1" s="44"/>
      <c r="J1" s="44"/>
      <c r="K1" s="44"/>
      <c r="L1" s="45"/>
      <c r="M1" s="1" t="s">
        <v>2</v>
      </c>
      <c r="N1" s="2">
        <v>0</v>
      </c>
    </row>
    <row r="2" spans="1:14" ht="24" thickBot="1" x14ac:dyDescent="0.4">
      <c r="A2" s="55"/>
      <c r="B2" s="56"/>
      <c r="C2" s="57"/>
      <c r="D2" s="46" t="s">
        <v>3</v>
      </c>
      <c r="E2" s="47"/>
      <c r="F2" s="47"/>
      <c r="G2" s="47"/>
      <c r="H2" s="47"/>
      <c r="I2" s="47"/>
      <c r="J2" s="47"/>
      <c r="K2" s="47"/>
      <c r="L2" s="48"/>
      <c r="M2" s="1" t="s">
        <v>4</v>
      </c>
      <c r="N2" s="3">
        <v>45424</v>
      </c>
    </row>
    <row r="3" spans="1:14" ht="7.5" customHeight="1" x14ac:dyDescent="0.35"/>
    <row r="4" spans="1:14" ht="22.5" customHeight="1" thickBot="1" x14ac:dyDescent="0.4">
      <c r="A4" s="49" t="s">
        <v>5</v>
      </c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1"/>
    </row>
    <row r="5" spans="1:14" ht="31.5" x14ac:dyDescent="0.35">
      <c r="A5" s="33" t="s">
        <v>6</v>
      </c>
      <c r="B5" s="34" t="s">
        <v>7</v>
      </c>
      <c r="C5" s="34" t="s">
        <v>8</v>
      </c>
      <c r="D5" s="35" t="s">
        <v>9</v>
      </c>
      <c r="E5" s="35" t="s">
        <v>10</v>
      </c>
      <c r="F5" s="33" t="s">
        <v>11</v>
      </c>
      <c r="G5" s="35" t="s">
        <v>12</v>
      </c>
      <c r="H5" s="35" t="s">
        <v>13</v>
      </c>
      <c r="I5" s="36" t="s">
        <v>14</v>
      </c>
      <c r="J5" s="36" t="s">
        <v>15</v>
      </c>
      <c r="K5" s="33" t="s">
        <v>16</v>
      </c>
      <c r="L5" s="35" t="s">
        <v>17</v>
      </c>
      <c r="M5" s="35" t="s">
        <v>18</v>
      </c>
      <c r="N5" s="33" t="s">
        <v>19</v>
      </c>
    </row>
    <row r="6" spans="1:14" x14ac:dyDescent="0.35">
      <c r="A6" s="42">
        <v>46211</v>
      </c>
      <c r="B6" s="41">
        <f>WEEKNUM(Table10[[#This Row],[Date ]])</f>
        <v>28</v>
      </c>
      <c r="C6" s="41" t="s">
        <v>307</v>
      </c>
      <c r="D6" s="41" t="s">
        <v>124</v>
      </c>
      <c r="E6" s="41" t="s">
        <v>88</v>
      </c>
      <c r="F6" s="41" t="s">
        <v>288</v>
      </c>
      <c r="G6" s="41"/>
      <c r="H6" s="41"/>
      <c r="I6" s="41" t="s">
        <v>101</v>
      </c>
      <c r="J6" s="41">
        <v>65</v>
      </c>
      <c r="K6" s="41" t="s">
        <v>289</v>
      </c>
      <c r="L6" s="41" t="s">
        <v>290</v>
      </c>
      <c r="M6" s="41" t="s">
        <v>102</v>
      </c>
      <c r="N6" s="41" t="s">
        <v>211</v>
      </c>
    </row>
    <row r="7" spans="1:14" ht="27.65" customHeight="1" x14ac:dyDescent="0.35">
      <c r="A7" s="42">
        <v>46211</v>
      </c>
      <c r="B7" s="41">
        <f>WEEKNUM(Table10[[#This Row],[Date ]])</f>
        <v>28</v>
      </c>
      <c r="C7" s="41" t="s">
        <v>307</v>
      </c>
      <c r="D7" s="41" t="s">
        <v>105</v>
      </c>
      <c r="E7" s="41" t="s">
        <v>88</v>
      </c>
      <c r="F7" s="41" t="s">
        <v>233</v>
      </c>
      <c r="G7" s="41"/>
      <c r="H7" s="41"/>
      <c r="I7" s="41" t="s">
        <v>120</v>
      </c>
      <c r="J7" s="41">
        <v>25</v>
      </c>
      <c r="K7" s="41" t="s">
        <v>284</v>
      </c>
      <c r="L7" s="41" t="s">
        <v>285</v>
      </c>
      <c r="M7" s="41" t="s">
        <v>102</v>
      </c>
      <c r="N7" s="41" t="s">
        <v>211</v>
      </c>
    </row>
    <row r="8" spans="1:14" ht="27.65" customHeight="1" x14ac:dyDescent="0.35">
      <c r="A8" s="42">
        <v>46209</v>
      </c>
      <c r="B8" s="41">
        <f>WEEKNUM(Table10[[#This Row],[Date ]])</f>
        <v>28</v>
      </c>
      <c r="C8" s="41" t="s">
        <v>307</v>
      </c>
      <c r="D8" s="41" t="s">
        <v>124</v>
      </c>
      <c r="E8" s="41" t="s">
        <v>88</v>
      </c>
      <c r="F8" s="41" t="s">
        <v>246</v>
      </c>
      <c r="G8" s="41"/>
      <c r="H8" s="41"/>
      <c r="I8" s="41" t="s">
        <v>101</v>
      </c>
      <c r="J8" s="41">
        <v>80</v>
      </c>
      <c r="K8" s="41" t="s">
        <v>260</v>
      </c>
      <c r="L8" s="41" t="s">
        <v>248</v>
      </c>
      <c r="M8" s="41" t="s">
        <v>102</v>
      </c>
      <c r="N8" s="41" t="s">
        <v>211</v>
      </c>
    </row>
    <row r="9" spans="1:14" ht="27.65" customHeight="1" x14ac:dyDescent="0.35">
      <c r="A9" s="42">
        <v>46212</v>
      </c>
      <c r="B9" s="41">
        <f>WEEKNUM(Table10[[#This Row],[Date ]])</f>
        <v>28</v>
      </c>
      <c r="C9" s="41" t="s">
        <v>307</v>
      </c>
      <c r="D9" s="41" t="s">
        <v>105</v>
      </c>
      <c r="E9" s="41" t="s">
        <v>88</v>
      </c>
      <c r="F9" s="41" t="s">
        <v>246</v>
      </c>
      <c r="G9" s="41"/>
      <c r="H9" s="41"/>
      <c r="I9" s="41" t="s">
        <v>120</v>
      </c>
      <c r="J9" s="41">
        <v>27</v>
      </c>
      <c r="K9" s="41" t="s">
        <v>291</v>
      </c>
      <c r="L9" s="41" t="s">
        <v>293</v>
      </c>
      <c r="M9" s="41" t="s">
        <v>102</v>
      </c>
      <c r="N9" s="41" t="s">
        <v>211</v>
      </c>
    </row>
    <row r="10" spans="1:14" x14ac:dyDescent="0.35">
      <c r="A10" s="42">
        <v>46209</v>
      </c>
      <c r="B10" s="41">
        <f>WEEKNUM(Table10[[#This Row],[Date ]])</f>
        <v>28</v>
      </c>
      <c r="C10" s="41" t="s">
        <v>307</v>
      </c>
      <c r="D10" s="41" t="s">
        <v>124</v>
      </c>
      <c r="E10" s="41" t="s">
        <v>88</v>
      </c>
      <c r="F10" s="41" t="s">
        <v>246</v>
      </c>
      <c r="G10" s="41"/>
      <c r="H10" s="41"/>
      <c r="I10" s="41" t="s">
        <v>101</v>
      </c>
      <c r="J10" s="41">
        <v>28</v>
      </c>
      <c r="K10" s="41" t="s">
        <v>272</v>
      </c>
      <c r="L10" s="41" t="s">
        <v>273</v>
      </c>
      <c r="M10" s="41" t="s">
        <v>102</v>
      </c>
      <c r="N10" s="41" t="s">
        <v>211</v>
      </c>
    </row>
    <row r="11" spans="1:14" x14ac:dyDescent="0.35">
      <c r="A11" s="42">
        <v>46209</v>
      </c>
      <c r="B11" s="41">
        <f>WEEKNUM(Table10[[#This Row],[Date ]])</f>
        <v>28</v>
      </c>
      <c r="C11" s="41" t="s">
        <v>307</v>
      </c>
      <c r="D11" s="41" t="s">
        <v>105</v>
      </c>
      <c r="E11" s="41" t="s">
        <v>90</v>
      </c>
      <c r="F11" s="41" t="s">
        <v>270</v>
      </c>
      <c r="G11" s="41"/>
      <c r="H11" s="41"/>
      <c r="I11" s="41" t="s">
        <v>120</v>
      </c>
      <c r="J11" s="41">
        <v>25</v>
      </c>
      <c r="K11" s="41" t="s">
        <v>271</v>
      </c>
      <c r="L11" s="41" t="s">
        <v>271</v>
      </c>
      <c r="M11" s="41" t="s">
        <v>102</v>
      </c>
      <c r="N11" s="41" t="s">
        <v>211</v>
      </c>
    </row>
    <row r="12" spans="1:14" x14ac:dyDescent="0.35">
      <c r="A12" s="42">
        <v>46210</v>
      </c>
      <c r="B12" s="41">
        <f>WEEKNUM(Table10[[#This Row],[Date ]])</f>
        <v>28</v>
      </c>
      <c r="C12" s="41" t="s">
        <v>307</v>
      </c>
      <c r="D12" s="41" t="s">
        <v>124</v>
      </c>
      <c r="E12" s="41" t="s">
        <v>88</v>
      </c>
      <c r="F12" s="41" t="s">
        <v>246</v>
      </c>
      <c r="G12" s="41"/>
      <c r="H12" s="41"/>
      <c r="I12" s="41" t="s">
        <v>101</v>
      </c>
      <c r="J12" s="41">
        <v>120</v>
      </c>
      <c r="K12" s="41" t="s">
        <v>260</v>
      </c>
      <c r="L12" s="41" t="s">
        <v>260</v>
      </c>
      <c r="M12" s="41" t="s">
        <v>102</v>
      </c>
      <c r="N12" s="41" t="s">
        <v>211</v>
      </c>
    </row>
    <row r="13" spans="1:14" x14ac:dyDescent="0.35">
      <c r="A13" s="42">
        <v>46211</v>
      </c>
      <c r="B13" s="41">
        <f>WEEKNUM(Table10[[#This Row],[Date ]])</f>
        <v>28</v>
      </c>
      <c r="C13" s="41" t="s">
        <v>307</v>
      </c>
      <c r="D13" s="41" t="s">
        <v>105</v>
      </c>
      <c r="E13" s="41" t="s">
        <v>88</v>
      </c>
      <c r="F13" s="41" t="s">
        <v>246</v>
      </c>
      <c r="G13" s="41"/>
      <c r="H13" s="41"/>
      <c r="I13" s="41" t="s">
        <v>101</v>
      </c>
      <c r="J13" s="41">
        <v>20</v>
      </c>
      <c r="K13" s="41" t="s">
        <v>280</v>
      </c>
      <c r="L13" s="41" t="s">
        <v>281</v>
      </c>
      <c r="M13" s="41" t="s">
        <v>102</v>
      </c>
      <c r="N13" s="41" t="s">
        <v>211</v>
      </c>
    </row>
    <row r="14" spans="1:14" ht="41.5" customHeight="1" x14ac:dyDescent="0.35">
      <c r="A14" s="42">
        <v>46210</v>
      </c>
      <c r="B14" s="41">
        <f>WEEKNUM(Table10[[#This Row],[Date ]])</f>
        <v>28</v>
      </c>
      <c r="C14" s="41" t="s">
        <v>307</v>
      </c>
      <c r="D14" s="41" t="s">
        <v>105</v>
      </c>
      <c r="E14" s="41" t="s">
        <v>90</v>
      </c>
      <c r="F14" s="41" t="s">
        <v>274</v>
      </c>
      <c r="G14" s="41"/>
      <c r="H14" s="41"/>
      <c r="I14" s="41" t="s">
        <v>120</v>
      </c>
      <c r="J14" s="41">
        <v>55</v>
      </c>
      <c r="K14" s="41" t="s">
        <v>275</v>
      </c>
      <c r="L14" s="41" t="s">
        <v>276</v>
      </c>
      <c r="M14" s="41" t="s">
        <v>102</v>
      </c>
      <c r="N14" s="41" t="s">
        <v>211</v>
      </c>
    </row>
    <row r="15" spans="1:14" x14ac:dyDescent="0.35">
      <c r="A15" s="42">
        <v>46211</v>
      </c>
      <c r="B15" s="41">
        <f>WEEKNUM(Table10[[#This Row],[Date ]])</f>
        <v>28</v>
      </c>
      <c r="C15" s="41" t="s">
        <v>307</v>
      </c>
      <c r="D15" s="41" t="s">
        <v>105</v>
      </c>
      <c r="E15" s="41" t="s">
        <v>88</v>
      </c>
      <c r="F15" s="41" t="s">
        <v>246</v>
      </c>
      <c r="G15" s="41"/>
      <c r="H15" s="41"/>
      <c r="I15" s="41" t="s">
        <v>101</v>
      </c>
      <c r="J15" s="41">
        <v>9</v>
      </c>
      <c r="K15" s="41" t="s">
        <v>282</v>
      </c>
      <c r="L15" s="41" t="s">
        <v>283</v>
      </c>
      <c r="M15" s="41" t="s">
        <v>102</v>
      </c>
      <c r="N15" s="41" t="s">
        <v>211</v>
      </c>
    </row>
    <row r="16" spans="1:14" x14ac:dyDescent="0.35">
      <c r="A16" s="42">
        <v>46212</v>
      </c>
      <c r="B16" s="41">
        <f>WEEKNUM(Table10[[#This Row],[Date ]])</f>
        <v>28</v>
      </c>
      <c r="C16" s="41" t="s">
        <v>307</v>
      </c>
      <c r="D16" s="41" t="s">
        <v>105</v>
      </c>
      <c r="E16" s="41" t="s">
        <v>88</v>
      </c>
      <c r="F16" s="41" t="s">
        <v>246</v>
      </c>
      <c r="G16" s="41"/>
      <c r="H16" s="41"/>
      <c r="I16" s="41" t="s">
        <v>120</v>
      </c>
      <c r="J16" s="41">
        <v>12</v>
      </c>
      <c r="K16" s="41" t="s">
        <v>249</v>
      </c>
      <c r="L16" s="41" t="s">
        <v>292</v>
      </c>
      <c r="M16" s="41" t="s">
        <v>102</v>
      </c>
      <c r="N16" s="41" t="s">
        <v>211</v>
      </c>
    </row>
    <row r="17" spans="1:14" x14ac:dyDescent="0.35">
      <c r="A17" s="42">
        <v>46211</v>
      </c>
      <c r="B17" s="41">
        <f>WEEKNUM(Table10[[#This Row],[Date ]])</f>
        <v>28</v>
      </c>
      <c r="C17" s="41" t="s">
        <v>307</v>
      </c>
      <c r="D17" s="41" t="s">
        <v>105</v>
      </c>
      <c r="E17" s="41" t="s">
        <v>88</v>
      </c>
      <c r="F17" s="41" t="s">
        <v>277</v>
      </c>
      <c r="G17" s="41"/>
      <c r="H17" s="41"/>
      <c r="I17" s="41"/>
      <c r="J17" s="41">
        <v>20</v>
      </c>
      <c r="K17" s="41" t="s">
        <v>278</v>
      </c>
      <c r="L17" s="41" t="s">
        <v>279</v>
      </c>
      <c r="M17" s="41" t="s">
        <v>102</v>
      </c>
      <c r="N17" s="41" t="s">
        <v>211</v>
      </c>
    </row>
    <row r="18" spans="1:14" ht="35" customHeight="1" x14ac:dyDescent="0.35">
      <c r="A18" s="42">
        <v>46211</v>
      </c>
      <c r="B18" s="41">
        <f>WEEKNUM(Table10[[#This Row],[Date ]])</f>
        <v>28</v>
      </c>
      <c r="C18" s="41" t="s">
        <v>307</v>
      </c>
      <c r="D18" s="41" t="s">
        <v>124</v>
      </c>
      <c r="E18" s="41" t="s">
        <v>88</v>
      </c>
      <c r="F18" s="41" t="s">
        <v>277</v>
      </c>
      <c r="G18" s="41"/>
      <c r="H18" s="41"/>
      <c r="I18" s="41" t="s">
        <v>101</v>
      </c>
      <c r="J18" s="41">
        <v>45</v>
      </c>
      <c r="K18" s="41" t="s">
        <v>286</v>
      </c>
      <c r="L18" s="41" t="s">
        <v>287</v>
      </c>
      <c r="M18" s="41" t="s">
        <v>102</v>
      </c>
      <c r="N18" s="41" t="s">
        <v>211</v>
      </c>
    </row>
    <row r="19" spans="1:14" x14ac:dyDescent="0.35">
      <c r="A19" s="42">
        <v>46203</v>
      </c>
      <c r="B19" s="41">
        <f>WEEKNUM(Table10[[#This Row],[Date ]])</f>
        <v>27</v>
      </c>
      <c r="C19" s="41" t="s">
        <v>209</v>
      </c>
      <c r="D19" s="41" t="s">
        <v>105</v>
      </c>
      <c r="E19" s="41" t="s">
        <v>88</v>
      </c>
      <c r="F19" s="41" t="s">
        <v>236</v>
      </c>
      <c r="G19" s="41"/>
      <c r="H19" s="41"/>
      <c r="I19" s="41" t="s">
        <v>120</v>
      </c>
      <c r="J19" s="41">
        <v>15</v>
      </c>
      <c r="K19" s="41" t="s">
        <v>237</v>
      </c>
      <c r="L19" s="41" t="s">
        <v>238</v>
      </c>
      <c r="M19" s="41" t="s">
        <v>102</v>
      </c>
      <c r="N19" s="41" t="s">
        <v>211</v>
      </c>
    </row>
    <row r="20" spans="1:14" x14ac:dyDescent="0.35">
      <c r="A20" s="42">
        <v>46202</v>
      </c>
      <c r="B20" s="41">
        <f>WEEKNUM(Table10[[#This Row],[Date ]])</f>
        <v>27</v>
      </c>
      <c r="C20" s="41" t="s">
        <v>209</v>
      </c>
      <c r="D20" s="41" t="s">
        <v>124</v>
      </c>
      <c r="E20" s="41" t="s">
        <v>90</v>
      </c>
      <c r="F20" s="41" t="s">
        <v>210</v>
      </c>
      <c r="G20" s="41"/>
      <c r="H20" s="41"/>
      <c r="I20" s="41"/>
      <c r="J20" s="41"/>
      <c r="K20" s="41" t="s">
        <v>227</v>
      </c>
      <c r="L20" s="41" t="s">
        <v>227</v>
      </c>
      <c r="M20" s="41" t="s">
        <v>121</v>
      </c>
      <c r="N20" s="41"/>
    </row>
    <row r="21" spans="1:14" ht="29" customHeight="1" x14ac:dyDescent="0.35">
      <c r="A21" s="42">
        <v>46202</v>
      </c>
      <c r="B21" s="41">
        <f>WEEKNUM(Table10[[#This Row],[Date ]])</f>
        <v>27</v>
      </c>
      <c r="C21" s="41" t="s">
        <v>209</v>
      </c>
      <c r="D21" s="41" t="s">
        <v>124</v>
      </c>
      <c r="E21" s="41" t="s">
        <v>90</v>
      </c>
      <c r="F21" s="41" t="s">
        <v>210</v>
      </c>
      <c r="G21" s="41"/>
      <c r="H21" s="41"/>
      <c r="I21" s="41"/>
      <c r="J21" s="41">
        <v>188</v>
      </c>
      <c r="K21" s="41" t="s">
        <v>228</v>
      </c>
      <c r="L21" s="41"/>
      <c r="M21" s="41" t="s">
        <v>102</v>
      </c>
      <c r="N21" s="41" t="s">
        <v>211</v>
      </c>
    </row>
    <row r="22" spans="1:14" ht="34.5" customHeight="1" x14ac:dyDescent="0.35">
      <c r="A22" s="42">
        <v>46203</v>
      </c>
      <c r="B22" s="41">
        <f>WEEKNUM(Table10[[#This Row],[Date ]])</f>
        <v>27</v>
      </c>
      <c r="C22" s="41" t="s">
        <v>209</v>
      </c>
      <c r="D22" s="41" t="s">
        <v>105</v>
      </c>
      <c r="E22" s="41"/>
      <c r="F22" s="41"/>
      <c r="G22" s="41"/>
      <c r="H22" s="41"/>
      <c r="I22" s="41" t="s">
        <v>120</v>
      </c>
      <c r="J22" s="41">
        <v>108</v>
      </c>
      <c r="K22" s="41" t="s">
        <v>229</v>
      </c>
      <c r="L22" s="41" t="s">
        <v>303</v>
      </c>
      <c r="M22" s="41" t="s">
        <v>102</v>
      </c>
      <c r="N22" s="41" t="s">
        <v>211</v>
      </c>
    </row>
    <row r="23" spans="1:14" x14ac:dyDescent="0.35">
      <c r="A23" s="42">
        <v>46203</v>
      </c>
      <c r="B23" s="41">
        <f>WEEKNUM(Table10[[#This Row],[Date ]])</f>
        <v>27</v>
      </c>
      <c r="C23" s="41" t="s">
        <v>209</v>
      </c>
      <c r="D23" s="41" t="s">
        <v>105</v>
      </c>
      <c r="E23" s="41" t="s">
        <v>88</v>
      </c>
      <c r="F23" s="41" t="s">
        <v>233</v>
      </c>
      <c r="G23" s="41"/>
      <c r="H23" s="41"/>
      <c r="I23" s="41" t="s">
        <v>120</v>
      </c>
      <c r="J23" s="41">
        <v>24</v>
      </c>
      <c r="K23" s="41" t="s">
        <v>296</v>
      </c>
      <c r="L23" s="41" t="s">
        <v>234</v>
      </c>
      <c r="M23" s="41" t="s">
        <v>102</v>
      </c>
      <c r="N23" s="41" t="s">
        <v>211</v>
      </c>
    </row>
    <row r="24" spans="1:14" x14ac:dyDescent="0.35">
      <c r="A24" s="42">
        <v>46203</v>
      </c>
      <c r="B24" s="41">
        <f>WEEKNUM(Table10[[#This Row],[Date ]])</f>
        <v>27</v>
      </c>
      <c r="C24" s="41" t="s">
        <v>209</v>
      </c>
      <c r="D24" s="41" t="s">
        <v>105</v>
      </c>
      <c r="E24" s="41"/>
      <c r="F24" s="41"/>
      <c r="G24" s="41"/>
      <c r="H24" s="41"/>
      <c r="I24" s="41" t="s">
        <v>120</v>
      </c>
      <c r="J24" s="41">
        <v>57</v>
      </c>
      <c r="K24" s="41" t="s">
        <v>235</v>
      </c>
      <c r="L24" s="41" t="s">
        <v>232</v>
      </c>
      <c r="M24" s="41" t="s">
        <v>102</v>
      </c>
      <c r="N24" s="41" t="s">
        <v>211</v>
      </c>
    </row>
    <row r="25" spans="1:14" x14ac:dyDescent="0.35">
      <c r="A25" s="42">
        <v>46205</v>
      </c>
      <c r="B25" s="41">
        <f>WEEKNUM(Table10[[#This Row],[Date ]])</f>
        <v>27</v>
      </c>
      <c r="C25" s="41" t="s">
        <v>307</v>
      </c>
      <c r="D25" s="41" t="s">
        <v>124</v>
      </c>
      <c r="E25" s="41" t="s">
        <v>88</v>
      </c>
      <c r="F25" s="41" t="s">
        <v>246</v>
      </c>
      <c r="G25" s="41"/>
      <c r="H25" s="41"/>
      <c r="I25" s="41" t="s">
        <v>101</v>
      </c>
      <c r="J25" s="41">
        <v>6</v>
      </c>
      <c r="K25" s="41" t="s">
        <v>249</v>
      </c>
      <c r="L25" s="41" t="s">
        <v>250</v>
      </c>
      <c r="M25" s="41" t="s">
        <v>102</v>
      </c>
      <c r="N25" s="41" t="s">
        <v>211</v>
      </c>
    </row>
    <row r="26" spans="1:14" ht="33" customHeight="1" x14ac:dyDescent="0.35">
      <c r="A26" s="42">
        <v>46207</v>
      </c>
      <c r="B26" s="41">
        <f>WEEKNUM(Table10[[#This Row],[Date ]])</f>
        <v>27</v>
      </c>
      <c r="C26" s="41" t="s">
        <v>307</v>
      </c>
      <c r="D26" s="41" t="s">
        <v>105</v>
      </c>
      <c r="E26" s="41" t="s">
        <v>88</v>
      </c>
      <c r="F26" s="41" t="s">
        <v>246</v>
      </c>
      <c r="G26" s="41"/>
      <c r="H26" s="41"/>
      <c r="I26" s="41" t="s">
        <v>120</v>
      </c>
      <c r="J26" s="41">
        <v>54</v>
      </c>
      <c r="K26" s="41" t="s">
        <v>264</v>
      </c>
      <c r="L26" s="41" t="s">
        <v>265</v>
      </c>
      <c r="M26" s="41" t="s">
        <v>102</v>
      </c>
      <c r="N26" s="41" t="s">
        <v>211</v>
      </c>
    </row>
    <row r="27" spans="1:14" x14ac:dyDescent="0.35">
      <c r="A27" s="42">
        <v>46204</v>
      </c>
      <c r="B27" s="41">
        <f>WEEKNUM(Table10[[#This Row],[Date ]])</f>
        <v>27</v>
      </c>
      <c r="C27" s="41" t="s">
        <v>307</v>
      </c>
      <c r="D27" s="41" t="s">
        <v>105</v>
      </c>
      <c r="E27" s="41" t="s">
        <v>90</v>
      </c>
      <c r="F27" s="41" t="s">
        <v>210</v>
      </c>
      <c r="G27" s="41"/>
      <c r="H27" s="41"/>
      <c r="I27" s="41" t="s">
        <v>101</v>
      </c>
      <c r="J27" s="41">
        <v>20</v>
      </c>
      <c r="K27" s="41" t="s">
        <v>297</v>
      </c>
      <c r="L27" s="41" t="s">
        <v>305</v>
      </c>
      <c r="M27" s="41" t="s">
        <v>102</v>
      </c>
      <c r="N27" s="41" t="s">
        <v>211</v>
      </c>
    </row>
    <row r="28" spans="1:14" x14ac:dyDescent="0.35">
      <c r="A28" s="42">
        <v>46205</v>
      </c>
      <c r="B28" s="41">
        <f>WEEKNUM(Table10[[#This Row],[Date ]])</f>
        <v>27</v>
      </c>
      <c r="C28" s="41" t="s">
        <v>307</v>
      </c>
      <c r="D28" s="41" t="s">
        <v>105</v>
      </c>
      <c r="E28" s="41" t="s">
        <v>90</v>
      </c>
      <c r="F28" s="41" t="s">
        <v>210</v>
      </c>
      <c r="G28" s="41"/>
      <c r="H28" s="41"/>
      <c r="I28" s="41" t="s">
        <v>120</v>
      </c>
      <c r="J28" s="41">
        <v>50</v>
      </c>
      <c r="K28" s="41" t="s">
        <v>242</v>
      </c>
      <c r="L28" s="41" t="s">
        <v>243</v>
      </c>
      <c r="M28" s="41" t="s">
        <v>102</v>
      </c>
      <c r="N28" s="41" t="s">
        <v>211</v>
      </c>
    </row>
    <row r="29" spans="1:14" ht="33" customHeight="1" x14ac:dyDescent="0.35">
      <c r="A29" s="42">
        <v>46205</v>
      </c>
      <c r="B29" s="41">
        <f>WEEKNUM(Table10[[#This Row],[Date ]])</f>
        <v>27</v>
      </c>
      <c r="C29" s="41" t="s">
        <v>307</v>
      </c>
      <c r="D29" s="41" t="s">
        <v>105</v>
      </c>
      <c r="E29" s="41"/>
      <c r="F29" s="41" t="s">
        <v>210</v>
      </c>
      <c r="G29" s="41"/>
      <c r="H29" s="41"/>
      <c r="I29" s="41" t="s">
        <v>120</v>
      </c>
      <c r="J29" s="41">
        <v>37</v>
      </c>
      <c r="K29" s="41" t="s">
        <v>244</v>
      </c>
      <c r="L29" s="41" t="s">
        <v>245</v>
      </c>
      <c r="M29" s="41" t="s">
        <v>102</v>
      </c>
      <c r="N29" s="41" t="s">
        <v>211</v>
      </c>
    </row>
    <row r="30" spans="1:14" x14ac:dyDescent="0.35">
      <c r="A30" s="42">
        <v>46203</v>
      </c>
      <c r="B30" s="41">
        <f>WEEKNUM(Table10[[#This Row],[Date ]])</f>
        <v>27</v>
      </c>
      <c r="C30" s="41" t="s">
        <v>209</v>
      </c>
      <c r="D30" s="41" t="s">
        <v>124</v>
      </c>
      <c r="E30" s="41" t="s">
        <v>88</v>
      </c>
      <c r="F30" s="41" t="s">
        <v>246</v>
      </c>
      <c r="G30" s="41"/>
      <c r="H30" s="41"/>
      <c r="I30" s="41" t="s">
        <v>101</v>
      </c>
      <c r="J30" s="41">
        <v>65</v>
      </c>
      <c r="K30" s="41" t="s">
        <v>230</v>
      </c>
      <c r="L30" s="41" t="s">
        <v>231</v>
      </c>
      <c r="M30" s="41" t="s">
        <v>102</v>
      </c>
      <c r="N30" s="41" t="s">
        <v>211</v>
      </c>
    </row>
    <row r="31" spans="1:14" x14ac:dyDescent="0.35">
      <c r="A31" s="42">
        <v>46204</v>
      </c>
      <c r="B31" s="41">
        <f>WEEKNUM(Table10[[#This Row],[Date ]])</f>
        <v>27</v>
      </c>
      <c r="C31" s="41" t="s">
        <v>307</v>
      </c>
      <c r="D31" s="41" t="s">
        <v>105</v>
      </c>
      <c r="E31" s="41" t="s">
        <v>88</v>
      </c>
      <c r="F31" s="41" t="s">
        <v>246</v>
      </c>
      <c r="G31" s="41"/>
      <c r="H31" s="41"/>
      <c r="I31" s="41" t="s">
        <v>101</v>
      </c>
      <c r="J31" s="41">
        <v>100</v>
      </c>
      <c r="K31" s="41" t="s">
        <v>239</v>
      </c>
      <c r="L31" s="41" t="s">
        <v>240</v>
      </c>
      <c r="M31" s="41" t="s">
        <v>102</v>
      </c>
      <c r="N31" s="41" t="s">
        <v>211</v>
      </c>
    </row>
    <row r="32" spans="1:14" ht="26" customHeight="1" x14ac:dyDescent="0.35">
      <c r="A32" s="42">
        <v>46204</v>
      </c>
      <c r="B32" s="41">
        <f>WEEKNUM(Table10[[#This Row],[Date ]])</f>
        <v>27</v>
      </c>
      <c r="C32" s="41" t="s">
        <v>307</v>
      </c>
      <c r="D32" s="41" t="s">
        <v>105</v>
      </c>
      <c r="E32" s="41" t="s">
        <v>88</v>
      </c>
      <c r="F32" s="41" t="s">
        <v>246</v>
      </c>
      <c r="G32" s="41"/>
      <c r="H32" s="41"/>
      <c r="I32" s="41" t="s">
        <v>101</v>
      </c>
      <c r="J32" s="41">
        <v>114</v>
      </c>
      <c r="K32" s="41" t="s">
        <v>239</v>
      </c>
      <c r="L32" s="41" t="s">
        <v>304</v>
      </c>
      <c r="M32" s="41" t="s">
        <v>102</v>
      </c>
      <c r="N32" s="41" t="s">
        <v>211</v>
      </c>
    </row>
    <row r="33" spans="1:14" ht="29.5" customHeight="1" x14ac:dyDescent="0.35">
      <c r="A33" s="42">
        <v>46205</v>
      </c>
      <c r="B33" s="41">
        <f>WEEKNUM(Table10[[#This Row],[Date ]])</f>
        <v>27</v>
      </c>
      <c r="C33" s="41" t="s">
        <v>307</v>
      </c>
      <c r="D33" s="41" t="s">
        <v>105</v>
      </c>
      <c r="E33" s="41"/>
      <c r="F33" s="41" t="s">
        <v>253</v>
      </c>
      <c r="G33" s="41"/>
      <c r="H33" s="41"/>
      <c r="I33" s="41" t="s">
        <v>120</v>
      </c>
      <c r="J33" s="41">
        <v>25</v>
      </c>
      <c r="K33" s="41" t="s">
        <v>254</v>
      </c>
      <c r="L33" s="41" t="s">
        <v>255</v>
      </c>
      <c r="M33" s="41" t="s">
        <v>102</v>
      </c>
      <c r="N33" s="41" t="s">
        <v>211</v>
      </c>
    </row>
    <row r="34" spans="1:14" ht="28" customHeight="1" x14ac:dyDescent="0.35">
      <c r="A34" s="42">
        <v>46205</v>
      </c>
      <c r="B34" s="41">
        <f>WEEKNUM(Table10[[#This Row],[Date ]])</f>
        <v>27</v>
      </c>
      <c r="C34" s="41" t="s">
        <v>307</v>
      </c>
      <c r="D34" s="41" t="s">
        <v>105</v>
      </c>
      <c r="E34" s="41" t="s">
        <v>88</v>
      </c>
      <c r="F34" s="41" t="s">
        <v>246</v>
      </c>
      <c r="G34" s="41"/>
      <c r="H34" s="41"/>
      <c r="I34" s="41" t="s">
        <v>120</v>
      </c>
      <c r="J34" s="41">
        <v>20</v>
      </c>
      <c r="K34" s="41" t="s">
        <v>295</v>
      </c>
      <c r="L34" s="41" t="s">
        <v>241</v>
      </c>
      <c r="M34" s="41" t="s">
        <v>102</v>
      </c>
      <c r="N34" s="41" t="s">
        <v>211</v>
      </c>
    </row>
    <row r="35" spans="1:14" x14ac:dyDescent="0.35">
      <c r="A35" s="42">
        <v>46205</v>
      </c>
      <c r="B35" s="41">
        <f>WEEKNUM(Table10[[#This Row],[Date ]])</f>
        <v>27</v>
      </c>
      <c r="C35" s="41" t="s">
        <v>307</v>
      </c>
      <c r="D35" s="41" t="s">
        <v>124</v>
      </c>
      <c r="E35" s="41" t="s">
        <v>88</v>
      </c>
      <c r="F35" s="41" t="s">
        <v>246</v>
      </c>
      <c r="G35" s="41"/>
      <c r="H35" s="41"/>
      <c r="I35" s="41" t="s">
        <v>101</v>
      </c>
      <c r="J35" s="41">
        <v>40</v>
      </c>
      <c r="K35" s="41" t="s">
        <v>247</v>
      </c>
      <c r="L35" s="41" t="s">
        <v>252</v>
      </c>
      <c r="M35" s="41" t="s">
        <v>102</v>
      </c>
      <c r="N35" s="41" t="s">
        <v>211</v>
      </c>
    </row>
    <row r="36" spans="1:14" x14ac:dyDescent="0.35">
      <c r="A36" s="42">
        <v>46206</v>
      </c>
      <c r="B36" s="41">
        <f>WEEKNUM(Table10[[#This Row],[Date ]])</f>
        <v>27</v>
      </c>
      <c r="C36" s="41" t="s">
        <v>307</v>
      </c>
      <c r="D36" s="41" t="s">
        <v>105</v>
      </c>
      <c r="E36" s="41"/>
      <c r="F36" s="41"/>
      <c r="G36" s="41"/>
      <c r="H36" s="41"/>
      <c r="I36" s="41" t="s">
        <v>120</v>
      </c>
      <c r="J36" s="41">
        <v>15</v>
      </c>
      <c r="K36" s="41" t="s">
        <v>259</v>
      </c>
      <c r="L36" s="41" t="s">
        <v>226</v>
      </c>
      <c r="M36" s="41" t="s">
        <v>102</v>
      </c>
      <c r="N36" s="41" t="s">
        <v>211</v>
      </c>
    </row>
    <row r="37" spans="1:14" x14ac:dyDescent="0.35">
      <c r="A37" s="42">
        <v>46205</v>
      </c>
      <c r="B37" s="41">
        <f>WEEKNUM(Table10[[#This Row],[Date ]])</f>
        <v>27</v>
      </c>
      <c r="C37" s="41" t="s">
        <v>307</v>
      </c>
      <c r="D37" s="41" t="s">
        <v>124</v>
      </c>
      <c r="E37" s="41" t="s">
        <v>88</v>
      </c>
      <c r="F37" s="41" t="s">
        <v>246</v>
      </c>
      <c r="G37" s="41"/>
      <c r="H37" s="41"/>
      <c r="I37" s="41" t="s">
        <v>101</v>
      </c>
      <c r="J37" s="41">
        <v>70</v>
      </c>
      <c r="K37" s="41" t="s">
        <v>251</v>
      </c>
      <c r="L37" s="41" t="s">
        <v>252</v>
      </c>
      <c r="M37" s="41" t="s">
        <v>102</v>
      </c>
      <c r="N37" s="41" t="s">
        <v>211</v>
      </c>
    </row>
    <row r="38" spans="1:14" x14ac:dyDescent="0.35">
      <c r="A38" s="42">
        <v>46206</v>
      </c>
      <c r="B38" s="41">
        <f>WEEKNUM(Table10[[#This Row],[Date ]])</f>
        <v>27</v>
      </c>
      <c r="C38" s="41" t="s">
        <v>307</v>
      </c>
      <c r="D38" s="41" t="s">
        <v>105</v>
      </c>
      <c r="E38" s="41" t="s">
        <v>88</v>
      </c>
      <c r="F38" s="41" t="s">
        <v>246</v>
      </c>
      <c r="G38" s="41"/>
      <c r="H38" s="41"/>
      <c r="I38" s="41" t="s">
        <v>120</v>
      </c>
      <c r="J38" s="41">
        <v>20</v>
      </c>
      <c r="K38" s="41" t="s">
        <v>256</v>
      </c>
      <c r="L38" s="41" t="s">
        <v>306</v>
      </c>
      <c r="M38" s="41" t="s">
        <v>102</v>
      </c>
      <c r="N38" s="41" t="s">
        <v>211</v>
      </c>
    </row>
    <row r="39" spans="1:14" x14ac:dyDescent="0.35">
      <c r="A39" s="42">
        <v>46206</v>
      </c>
      <c r="B39" s="41">
        <f>WEEKNUM(Table10[[#This Row],[Date ]])</f>
        <v>27</v>
      </c>
      <c r="C39" s="41" t="s">
        <v>307</v>
      </c>
      <c r="D39" s="41" t="s">
        <v>124</v>
      </c>
      <c r="E39" s="41" t="s">
        <v>88</v>
      </c>
      <c r="F39" s="41" t="s">
        <v>246</v>
      </c>
      <c r="G39" s="41"/>
      <c r="H39" s="41"/>
      <c r="I39" s="41" t="s">
        <v>101</v>
      </c>
      <c r="J39" s="41">
        <v>270</v>
      </c>
      <c r="K39" s="41" t="s">
        <v>262</v>
      </c>
      <c r="L39" s="41" t="s">
        <v>263</v>
      </c>
      <c r="M39" s="41" t="s">
        <v>102</v>
      </c>
      <c r="N39" s="41" t="s">
        <v>211</v>
      </c>
    </row>
    <row r="40" spans="1:14" x14ac:dyDescent="0.35">
      <c r="A40" s="42">
        <v>46207</v>
      </c>
      <c r="B40" s="41">
        <f>WEEKNUM(Table10[[#This Row],[Date ]])</f>
        <v>27</v>
      </c>
      <c r="C40" s="41" t="s">
        <v>307</v>
      </c>
      <c r="D40" s="41" t="s">
        <v>105</v>
      </c>
      <c r="E40" s="41" t="s">
        <v>88</v>
      </c>
      <c r="F40" s="41" t="s">
        <v>246</v>
      </c>
      <c r="G40" s="41"/>
      <c r="H40" s="41"/>
      <c r="I40" s="41" t="s">
        <v>120</v>
      </c>
      <c r="J40" s="41">
        <v>10</v>
      </c>
      <c r="K40" s="41" t="s">
        <v>266</v>
      </c>
      <c r="L40" s="41" t="s">
        <v>267</v>
      </c>
      <c r="M40" s="41" t="s">
        <v>102</v>
      </c>
      <c r="N40" s="41" t="s">
        <v>211</v>
      </c>
    </row>
    <row r="41" spans="1:14" ht="27.5" customHeight="1" x14ac:dyDescent="0.35">
      <c r="A41" s="42">
        <v>46207</v>
      </c>
      <c r="B41" s="41">
        <f>WEEKNUM(Table10[[#This Row],[Date ]])</f>
        <v>27</v>
      </c>
      <c r="C41" s="41" t="s">
        <v>307</v>
      </c>
      <c r="D41" s="41" t="s">
        <v>124</v>
      </c>
      <c r="E41" s="41" t="s">
        <v>88</v>
      </c>
      <c r="F41" s="41" t="s">
        <v>246</v>
      </c>
      <c r="G41" s="41"/>
      <c r="H41" s="41"/>
      <c r="I41" s="41" t="s">
        <v>120</v>
      </c>
      <c r="J41" s="41">
        <v>25</v>
      </c>
      <c r="K41" s="41" t="s">
        <v>268</v>
      </c>
      <c r="L41" s="41" t="s">
        <v>269</v>
      </c>
      <c r="M41" s="41" t="s">
        <v>102</v>
      </c>
      <c r="N41" s="41" t="s">
        <v>211</v>
      </c>
    </row>
    <row r="42" spans="1:14" x14ac:dyDescent="0.35">
      <c r="A42" s="42">
        <v>46203</v>
      </c>
      <c r="B42" s="41">
        <f>WEEKNUM(Table10[[#This Row],[Date ]])</f>
        <v>27</v>
      </c>
      <c r="C42" s="41" t="s">
        <v>209</v>
      </c>
      <c r="D42" s="41" t="s">
        <v>105</v>
      </c>
      <c r="E42" s="41" t="s">
        <v>88</v>
      </c>
      <c r="F42" s="41"/>
      <c r="G42" s="41"/>
      <c r="H42" s="41"/>
      <c r="I42" s="41" t="s">
        <v>101</v>
      </c>
      <c r="J42" s="41">
        <v>130</v>
      </c>
      <c r="K42" s="41" t="s">
        <v>230</v>
      </c>
      <c r="L42" s="41" t="s">
        <v>230</v>
      </c>
      <c r="M42" s="41" t="s">
        <v>102</v>
      </c>
      <c r="N42" s="41" t="s">
        <v>211</v>
      </c>
    </row>
    <row r="43" spans="1:14" ht="27.5" customHeight="1" x14ac:dyDescent="0.35">
      <c r="A43" s="42">
        <v>46206</v>
      </c>
      <c r="B43" s="41">
        <f>WEEKNUM(Table10[[#This Row],[Date ]])</f>
        <v>27</v>
      </c>
      <c r="C43" s="41" t="s">
        <v>307</v>
      </c>
      <c r="D43" s="41" t="s">
        <v>105</v>
      </c>
      <c r="E43" s="41" t="s">
        <v>88</v>
      </c>
      <c r="F43" s="41"/>
      <c r="G43" s="41"/>
      <c r="H43" s="41"/>
      <c r="I43" s="41" t="s">
        <v>120</v>
      </c>
      <c r="J43" s="41">
        <v>75</v>
      </c>
      <c r="K43" s="41" t="s">
        <v>257</v>
      </c>
      <c r="L43" s="41" t="s">
        <v>258</v>
      </c>
      <c r="M43" s="41" t="s">
        <v>102</v>
      </c>
      <c r="N43" s="41" t="s">
        <v>211</v>
      </c>
    </row>
    <row r="44" spans="1:14" x14ac:dyDescent="0.35">
      <c r="A44" s="42">
        <v>46206</v>
      </c>
      <c r="B44" s="41">
        <f>WEEKNUM(Table10[[#This Row],[Date ]])</f>
        <v>27</v>
      </c>
      <c r="C44" s="41" t="s">
        <v>307</v>
      </c>
      <c r="D44" s="41" t="s">
        <v>105</v>
      </c>
      <c r="E44" s="41" t="s">
        <v>88</v>
      </c>
      <c r="F44" s="41"/>
      <c r="G44" s="41"/>
      <c r="H44" s="41"/>
      <c r="I44" s="41" t="s">
        <v>120</v>
      </c>
      <c r="J44" s="41">
        <v>210</v>
      </c>
      <c r="K44" s="41" t="s">
        <v>260</v>
      </c>
      <c r="L44" s="41" t="s">
        <v>261</v>
      </c>
      <c r="M44" s="41" t="s">
        <v>102</v>
      </c>
      <c r="N44" s="41" t="s">
        <v>211</v>
      </c>
    </row>
    <row r="45" spans="1:14" x14ac:dyDescent="0.35">
      <c r="A45" s="42">
        <v>46197</v>
      </c>
      <c r="B45" s="41">
        <f>WEEKNUM(Table10[[#This Row],[Date ]])</f>
        <v>26</v>
      </c>
      <c r="C45" s="41" t="s">
        <v>209</v>
      </c>
      <c r="D45" s="41" t="s">
        <v>105</v>
      </c>
      <c r="E45" s="41" t="s">
        <v>90</v>
      </c>
      <c r="F45" s="41" t="s">
        <v>212</v>
      </c>
      <c r="G45" s="41"/>
      <c r="H45" s="41"/>
      <c r="I45" s="41" t="s">
        <v>120</v>
      </c>
      <c r="J45" s="41">
        <v>8</v>
      </c>
      <c r="K45" s="41" t="s">
        <v>214</v>
      </c>
      <c r="L45" s="41" t="s">
        <v>215</v>
      </c>
      <c r="M45" s="41" t="s">
        <v>102</v>
      </c>
      <c r="N45" s="41" t="s">
        <v>211</v>
      </c>
    </row>
    <row r="46" spans="1:14" x14ac:dyDescent="0.35">
      <c r="A46" s="42">
        <v>46197</v>
      </c>
      <c r="B46" s="41">
        <f>WEEKNUM(Table10[[#This Row],[Date ]])</f>
        <v>26</v>
      </c>
      <c r="C46" s="41" t="s">
        <v>209</v>
      </c>
      <c r="D46" s="41" t="s">
        <v>105</v>
      </c>
      <c r="E46" s="41" t="s">
        <v>93</v>
      </c>
      <c r="F46" s="41" t="s">
        <v>216</v>
      </c>
      <c r="G46" s="41"/>
      <c r="H46" s="41"/>
      <c r="I46" s="41" t="s">
        <v>120</v>
      </c>
      <c r="J46" s="41">
        <v>110</v>
      </c>
      <c r="K46" s="41" t="s">
        <v>217</v>
      </c>
      <c r="L46" s="41" t="s">
        <v>299</v>
      </c>
      <c r="M46" s="41" t="s">
        <v>102</v>
      </c>
      <c r="N46" s="41" t="s">
        <v>211</v>
      </c>
    </row>
    <row r="47" spans="1:14" x14ac:dyDescent="0.35">
      <c r="A47" s="42">
        <v>46200</v>
      </c>
      <c r="B47" s="41">
        <f>WEEKNUM(Table10[[#This Row],[Date ]])</f>
        <v>26</v>
      </c>
      <c r="C47" s="41" t="s">
        <v>209</v>
      </c>
      <c r="D47" s="41" t="s">
        <v>105</v>
      </c>
      <c r="E47" s="41" t="s">
        <v>88</v>
      </c>
      <c r="F47" s="41" t="s">
        <v>224</v>
      </c>
      <c r="G47" s="41"/>
      <c r="H47" s="41"/>
      <c r="I47" s="41" t="s">
        <v>120</v>
      </c>
      <c r="J47" s="41">
        <v>10</v>
      </c>
      <c r="K47" s="41" t="s">
        <v>225</v>
      </c>
      <c r="L47" s="41" t="s">
        <v>302</v>
      </c>
      <c r="M47" s="41" t="s">
        <v>102</v>
      </c>
      <c r="N47" s="41" t="s">
        <v>211</v>
      </c>
    </row>
    <row r="48" spans="1:14" x14ac:dyDescent="0.35">
      <c r="A48" s="42">
        <v>46199</v>
      </c>
      <c r="B48" s="41">
        <f>WEEKNUM(Table10[[#This Row],[Date ]])</f>
        <v>26</v>
      </c>
      <c r="C48" s="41" t="s">
        <v>209</v>
      </c>
      <c r="D48" s="41" t="s">
        <v>105</v>
      </c>
      <c r="E48" s="41" t="s">
        <v>90</v>
      </c>
      <c r="F48" s="41" t="s">
        <v>210</v>
      </c>
      <c r="G48" s="41"/>
      <c r="H48" s="41"/>
      <c r="I48" s="41" t="s">
        <v>120</v>
      </c>
      <c r="J48" s="41">
        <v>20</v>
      </c>
      <c r="K48" s="41" t="s">
        <v>219</v>
      </c>
      <c r="L48" s="41" t="s">
        <v>255</v>
      </c>
      <c r="M48" s="41" t="s">
        <v>102</v>
      </c>
      <c r="N48" s="41" t="s">
        <v>211</v>
      </c>
    </row>
    <row r="49" spans="1:14" x14ac:dyDescent="0.35">
      <c r="A49" s="42">
        <v>46199</v>
      </c>
      <c r="B49" s="41">
        <f>WEEKNUM(Table10[[#This Row],[Date ]])</f>
        <v>26</v>
      </c>
      <c r="C49" s="41" t="s">
        <v>209</v>
      </c>
      <c r="D49" s="41" t="s">
        <v>105</v>
      </c>
      <c r="E49" s="41" t="s">
        <v>90</v>
      </c>
      <c r="F49" s="41" t="s">
        <v>210</v>
      </c>
      <c r="G49" s="41"/>
      <c r="H49" s="41"/>
      <c r="I49" s="41" t="s">
        <v>120</v>
      </c>
      <c r="J49" s="41">
        <v>48</v>
      </c>
      <c r="K49" s="41" t="s">
        <v>220</v>
      </c>
      <c r="L49" s="41" t="s">
        <v>221</v>
      </c>
      <c r="M49" s="41" t="s">
        <v>102</v>
      </c>
      <c r="N49" s="41" t="s">
        <v>211</v>
      </c>
    </row>
    <row r="50" spans="1:14" x14ac:dyDescent="0.35">
      <c r="A50" s="42">
        <v>46200</v>
      </c>
      <c r="B50" s="41">
        <f>WEEKNUM(Table10[[#This Row],[Date ]])</f>
        <v>26</v>
      </c>
      <c r="C50" s="41" t="s">
        <v>209</v>
      </c>
      <c r="D50" s="41" t="s">
        <v>105</v>
      </c>
      <c r="E50" s="41" t="s">
        <v>90</v>
      </c>
      <c r="F50" s="41" t="s">
        <v>222</v>
      </c>
      <c r="G50" s="41"/>
      <c r="H50" s="41"/>
      <c r="I50" s="41" t="s">
        <v>120</v>
      </c>
      <c r="J50" s="41">
        <v>20</v>
      </c>
      <c r="K50" s="41" t="s">
        <v>223</v>
      </c>
      <c r="L50" s="41" t="s">
        <v>301</v>
      </c>
      <c r="M50" s="41" t="s">
        <v>102</v>
      </c>
      <c r="N50" s="41" t="s">
        <v>211</v>
      </c>
    </row>
    <row r="51" spans="1:14" x14ac:dyDescent="0.35">
      <c r="A51" s="42">
        <v>46200</v>
      </c>
      <c r="B51" s="41">
        <f>WEEKNUM(Table10[[#This Row],[Date ]])</f>
        <v>26</v>
      </c>
      <c r="C51" s="41" t="s">
        <v>209</v>
      </c>
      <c r="D51" s="41" t="s">
        <v>105</v>
      </c>
      <c r="E51" s="41" t="s">
        <v>88</v>
      </c>
      <c r="F51" s="41" t="s">
        <v>224</v>
      </c>
      <c r="G51" s="41"/>
      <c r="H51" s="41"/>
      <c r="I51" s="41" t="s">
        <v>101</v>
      </c>
      <c r="J51" s="41">
        <v>11</v>
      </c>
      <c r="K51" s="41" t="s">
        <v>294</v>
      </c>
      <c r="L51" s="41" t="s">
        <v>226</v>
      </c>
      <c r="M51" s="41" t="s">
        <v>102</v>
      </c>
      <c r="N51" s="41" t="s">
        <v>211</v>
      </c>
    </row>
    <row r="52" spans="1:14" x14ac:dyDescent="0.35">
      <c r="A52" s="42">
        <v>46197</v>
      </c>
      <c r="B52" s="41">
        <f>WEEKNUM(Table10[[#This Row],[Date ]])</f>
        <v>26</v>
      </c>
      <c r="C52" s="41" t="s">
        <v>209</v>
      </c>
      <c r="D52" s="41" t="s">
        <v>105</v>
      </c>
      <c r="E52" s="41" t="s">
        <v>88</v>
      </c>
      <c r="F52" s="41" t="s">
        <v>246</v>
      </c>
      <c r="G52" s="41"/>
      <c r="H52" s="41"/>
      <c r="I52" s="41" t="s">
        <v>120</v>
      </c>
      <c r="J52" s="41">
        <v>7</v>
      </c>
      <c r="K52" s="41" t="s">
        <v>218</v>
      </c>
      <c r="L52" s="41" t="s">
        <v>300</v>
      </c>
      <c r="M52" s="41" t="s">
        <v>102</v>
      </c>
      <c r="N52" s="41" t="s">
        <v>211</v>
      </c>
    </row>
    <row r="53" spans="1:14" x14ac:dyDescent="0.35">
      <c r="A53" s="42">
        <v>46197</v>
      </c>
      <c r="B53" s="41">
        <f>WEEKNUM(Table10[[#This Row],[Date ]])</f>
        <v>26</v>
      </c>
      <c r="C53" s="41" t="s">
        <v>209</v>
      </c>
      <c r="D53" s="41" t="s">
        <v>105</v>
      </c>
      <c r="E53" s="41" t="s">
        <v>88</v>
      </c>
      <c r="F53" s="41"/>
      <c r="G53" s="41"/>
      <c r="H53" s="41"/>
      <c r="I53" s="41" t="s">
        <v>120</v>
      </c>
      <c r="J53" s="41">
        <v>35</v>
      </c>
      <c r="K53" s="41" t="s">
        <v>218</v>
      </c>
      <c r="L53" s="41" t="s">
        <v>298</v>
      </c>
      <c r="M53" s="41" t="s">
        <v>102</v>
      </c>
      <c r="N53" s="41" t="s">
        <v>211</v>
      </c>
    </row>
    <row r="54" spans="1:14" x14ac:dyDescent="0.35">
      <c r="A54" s="42">
        <v>46188</v>
      </c>
      <c r="B54" s="41">
        <f>WEEKNUM(Table10[[#This Row],[Date ]])</f>
        <v>25</v>
      </c>
      <c r="C54" s="41" t="s">
        <v>209</v>
      </c>
      <c r="D54" s="41" t="s">
        <v>105</v>
      </c>
      <c r="E54" s="41" t="s">
        <v>90</v>
      </c>
      <c r="F54" s="41" t="s">
        <v>210</v>
      </c>
      <c r="G54" s="41"/>
      <c r="H54" s="41"/>
      <c r="I54" s="41" t="s">
        <v>101</v>
      </c>
      <c r="J54" s="41">
        <v>21</v>
      </c>
      <c r="K54" s="41" t="s">
        <v>213</v>
      </c>
      <c r="L54" s="41"/>
      <c r="M54" s="41" t="s">
        <v>102</v>
      </c>
      <c r="N54" s="41" t="s">
        <v>211</v>
      </c>
    </row>
    <row r="55" spans="1:14" x14ac:dyDescent="0.35">
      <c r="A55" s="41"/>
      <c r="B55" s="41">
        <f>WEEKNUM(Table10[[#This Row],[Date ]])</f>
        <v>0</v>
      </c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</row>
    <row r="56" spans="1:14" x14ac:dyDescent="0.35">
      <c r="A56" s="41"/>
      <c r="B56" s="41">
        <f>WEEKNUM(Table10[[#This Row],[Date ]])</f>
        <v>0</v>
      </c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</row>
    <row r="57" spans="1:14" x14ac:dyDescent="0.35">
      <c r="A57" s="41"/>
      <c r="B57" s="41">
        <f>WEEKNUM(Table10[[#This Row],[Date ]])</f>
        <v>0</v>
      </c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</row>
    <row r="58" spans="1:14" x14ac:dyDescent="0.35">
      <c r="A58" s="41"/>
      <c r="B58" s="41">
        <f>WEEKNUM(Table10[[#This Row],[Date ]])</f>
        <v>0</v>
      </c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</row>
    <row r="59" spans="1:14" x14ac:dyDescent="0.35">
      <c r="A59" s="41"/>
      <c r="B59" s="41">
        <f>WEEKNUM(Table10[[#This Row],[Date ]])</f>
        <v>0</v>
      </c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</row>
    <row r="60" spans="1:14" x14ac:dyDescent="0.35">
      <c r="A60" s="41"/>
      <c r="B60" s="41">
        <f>WEEKNUM(Table10[[#This Row],[Date ]])</f>
        <v>0</v>
      </c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</row>
    <row r="61" spans="1:14" x14ac:dyDescent="0.35">
      <c r="A61" s="41"/>
      <c r="B61" s="41">
        <f>WEEKNUM(Table10[[#This Row],[Date ]])</f>
        <v>0</v>
      </c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</row>
    <row r="62" spans="1:14" x14ac:dyDescent="0.35">
      <c r="A62" s="41"/>
      <c r="B62" s="41">
        <f>WEEKNUM(Table10[[#This Row],[Date ]])</f>
        <v>0</v>
      </c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</row>
    <row r="63" spans="1:14" x14ac:dyDescent="0.35">
      <c r="A63" s="41"/>
      <c r="B63" s="41">
        <f>WEEKNUM(Table10[[#This Row],[Date ]])</f>
        <v>0</v>
      </c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</row>
    <row r="64" spans="1:14" x14ac:dyDescent="0.35">
      <c r="A64" s="41"/>
      <c r="B64" s="41">
        <f>WEEKNUM(Table10[[#This Row],[Date ]])</f>
        <v>0</v>
      </c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</row>
    <row r="65" spans="1:14" x14ac:dyDescent="0.35">
      <c r="A65" s="41"/>
      <c r="B65" s="41">
        <f>WEEKNUM(Table10[[#This Row],[Date ]])</f>
        <v>0</v>
      </c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</row>
    <row r="66" spans="1:14" x14ac:dyDescent="0.35">
      <c r="A66" s="41"/>
      <c r="B66" s="41">
        <f>WEEKNUM(Table10[[#This Row],[Date ]])</f>
        <v>0</v>
      </c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</row>
    <row r="67" spans="1:14" x14ac:dyDescent="0.35">
      <c r="A67" s="41"/>
      <c r="B67" s="41">
        <f>WEEKNUM(Table10[[#This Row],[Date ]])</f>
        <v>0</v>
      </c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</row>
    <row r="68" spans="1:14" x14ac:dyDescent="0.35">
      <c r="A68" s="41"/>
      <c r="B68" s="41">
        <f>WEEKNUM(Table10[[#This Row],[Date ]])</f>
        <v>0</v>
      </c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</row>
    <row r="69" spans="1:14" x14ac:dyDescent="0.35">
      <c r="A69" s="41"/>
      <c r="B69" s="41">
        <f>WEEKNUM(Table10[[#This Row],[Date ]])</f>
        <v>0</v>
      </c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</row>
    <row r="70" spans="1:14" x14ac:dyDescent="0.35">
      <c r="A70" s="41"/>
      <c r="B70" s="41">
        <f>WEEKNUM(Table10[[#This Row],[Date ]])</f>
        <v>0</v>
      </c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</row>
    <row r="71" spans="1:14" x14ac:dyDescent="0.35">
      <c r="A71" s="41"/>
      <c r="B71" s="41">
        <f>WEEKNUM(Table10[[#This Row],[Date ]])</f>
        <v>0</v>
      </c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</row>
    <row r="72" spans="1:14" x14ac:dyDescent="0.35">
      <c r="A72" s="41"/>
      <c r="B72" s="41">
        <f>WEEKNUM(Table10[[#This Row],[Date ]])</f>
        <v>0</v>
      </c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</row>
    <row r="73" spans="1:14" x14ac:dyDescent="0.35">
      <c r="A73" s="41"/>
      <c r="B73" s="41">
        <f>WEEKNUM(Table10[[#This Row],[Date ]])</f>
        <v>0</v>
      </c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</row>
    <row r="74" spans="1:14" x14ac:dyDescent="0.35">
      <c r="A74" s="41"/>
      <c r="B74" s="41">
        <f>WEEKNUM(Table10[[#This Row],[Date ]])</f>
        <v>0</v>
      </c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</row>
    <row r="75" spans="1:14" x14ac:dyDescent="0.35">
      <c r="A75" s="41"/>
      <c r="B75" s="41">
        <f>WEEKNUM(Table10[[#This Row],[Date ]])</f>
        <v>0</v>
      </c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</row>
    <row r="76" spans="1:14" x14ac:dyDescent="0.35">
      <c r="A76" s="41"/>
      <c r="B76" s="41">
        <f>WEEKNUM(Table10[[#This Row],[Date ]])</f>
        <v>0</v>
      </c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</row>
    <row r="77" spans="1:14" x14ac:dyDescent="0.35">
      <c r="A77" s="41"/>
      <c r="B77" s="41">
        <f>WEEKNUM(Table10[[#This Row],[Date ]])</f>
        <v>0</v>
      </c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</row>
    <row r="78" spans="1:14" x14ac:dyDescent="0.35">
      <c r="A78" s="41"/>
      <c r="B78" s="41">
        <f>WEEKNUM(Table10[[#This Row],[Date ]])</f>
        <v>0</v>
      </c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</row>
    <row r="79" spans="1:14" x14ac:dyDescent="0.35">
      <c r="A79" s="41"/>
      <c r="B79" s="41">
        <f>WEEKNUM(Table10[[#This Row],[Date ]])</f>
        <v>0</v>
      </c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</row>
    <row r="80" spans="1:14" x14ac:dyDescent="0.35">
      <c r="A80" s="41"/>
      <c r="B80" s="41">
        <f>WEEKNUM(Table10[[#This Row],[Date ]])</f>
        <v>0</v>
      </c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</row>
    <row r="81" spans="1:14" x14ac:dyDescent="0.35">
      <c r="A81" s="41"/>
      <c r="B81" s="41">
        <f>WEEKNUM(Table10[[#This Row],[Date ]])</f>
        <v>0</v>
      </c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</row>
    <row r="82" spans="1:14" x14ac:dyDescent="0.35">
      <c r="A82" s="41"/>
      <c r="B82" s="41">
        <f>WEEKNUM(Table10[[#This Row],[Date ]])</f>
        <v>0</v>
      </c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</row>
    <row r="83" spans="1:14" x14ac:dyDescent="0.35">
      <c r="A83" s="41"/>
      <c r="B83" s="41">
        <f>WEEKNUM(Table10[[#This Row],[Date ]])</f>
        <v>0</v>
      </c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</row>
    <row r="84" spans="1:14" x14ac:dyDescent="0.35">
      <c r="A84" s="41"/>
      <c r="B84" s="41">
        <f>WEEKNUM(Table10[[#This Row],[Date ]])</f>
        <v>0</v>
      </c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</row>
    <row r="85" spans="1:14" x14ac:dyDescent="0.35">
      <c r="A85" s="41"/>
      <c r="B85" s="41">
        <f>WEEKNUM(Table10[[#This Row],[Date ]])</f>
        <v>0</v>
      </c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</row>
    <row r="86" spans="1:14" x14ac:dyDescent="0.35">
      <c r="A86" s="41"/>
      <c r="B86" s="41">
        <f>WEEKNUM(Table10[[#This Row],[Date ]])</f>
        <v>0</v>
      </c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</row>
    <row r="87" spans="1:14" x14ac:dyDescent="0.35">
      <c r="A87" s="41"/>
      <c r="B87" s="41">
        <f>WEEKNUM(Table10[[#This Row],[Date ]])</f>
        <v>0</v>
      </c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</row>
    <row r="88" spans="1:14" x14ac:dyDescent="0.35">
      <c r="A88" s="41"/>
      <c r="B88" s="41">
        <f>WEEKNUM(Table10[[#This Row],[Date ]])</f>
        <v>0</v>
      </c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</row>
    <row r="89" spans="1:14" x14ac:dyDescent="0.35">
      <c r="A89" s="41"/>
      <c r="B89" s="41">
        <f>WEEKNUM(Table10[[#This Row],[Date ]])</f>
        <v>0</v>
      </c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</row>
    <row r="90" spans="1:14" x14ac:dyDescent="0.35">
      <c r="A90" s="41"/>
      <c r="B90" s="41">
        <f>WEEKNUM(Table10[[#This Row],[Date ]])</f>
        <v>0</v>
      </c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</row>
    <row r="91" spans="1:14" x14ac:dyDescent="0.35">
      <c r="A91" s="41"/>
      <c r="B91" s="41">
        <f>WEEKNUM(Table10[[#This Row],[Date ]])</f>
        <v>0</v>
      </c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</row>
    <row r="92" spans="1:14" x14ac:dyDescent="0.35">
      <c r="A92" s="41"/>
      <c r="B92" s="41">
        <f>WEEKNUM(Table10[[#This Row],[Date ]])</f>
        <v>0</v>
      </c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</row>
    <row r="93" spans="1:14" x14ac:dyDescent="0.35">
      <c r="A93" s="41"/>
      <c r="B93" s="41">
        <f>WEEKNUM(Table10[[#This Row],[Date ]])</f>
        <v>0</v>
      </c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</row>
    <row r="94" spans="1:14" x14ac:dyDescent="0.35">
      <c r="A94" s="41"/>
      <c r="B94" s="41">
        <f>WEEKNUM(Table10[[#This Row],[Date ]])</f>
        <v>0</v>
      </c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</row>
    <row r="95" spans="1:14" x14ac:dyDescent="0.35">
      <c r="A95" s="41"/>
      <c r="B95" s="41">
        <f>WEEKNUM(Table10[[#This Row],[Date ]])</f>
        <v>0</v>
      </c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</row>
    <row r="96" spans="1:14" x14ac:dyDescent="0.35">
      <c r="A96" s="41"/>
      <c r="B96" s="41">
        <f>WEEKNUM(Table10[[#This Row],[Date ]])</f>
        <v>0</v>
      </c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</row>
    <row r="97" spans="1:14" x14ac:dyDescent="0.35">
      <c r="A97" s="41"/>
      <c r="B97" s="41">
        <f>WEEKNUM(Table10[[#This Row],[Date ]])</f>
        <v>0</v>
      </c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</row>
    <row r="98" spans="1:14" x14ac:dyDescent="0.35">
      <c r="A98" s="41"/>
      <c r="B98" s="41">
        <f>WEEKNUM(Table10[[#This Row],[Date ]])</f>
        <v>0</v>
      </c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</row>
    <row r="99" spans="1:14" x14ac:dyDescent="0.35">
      <c r="A99" s="41"/>
      <c r="B99" s="41">
        <f>WEEKNUM(Table10[[#This Row],[Date ]])</f>
        <v>0</v>
      </c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</row>
    <row r="100" spans="1:14" x14ac:dyDescent="0.35">
      <c r="A100" s="41"/>
      <c r="B100" s="41">
        <f>WEEKNUM(Table10[[#This Row],[Date ]])</f>
        <v>0</v>
      </c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</row>
    <row r="101" spans="1:14" x14ac:dyDescent="0.35">
      <c r="A101" s="41"/>
      <c r="B101" s="41">
        <f>WEEKNUM(Table10[[#This Row],[Date ]])</f>
        <v>0</v>
      </c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</row>
    <row r="102" spans="1:14" x14ac:dyDescent="0.35">
      <c r="A102" s="41"/>
      <c r="B102" s="41">
        <f>WEEKNUM(Table10[[#This Row],[Date ]])</f>
        <v>0</v>
      </c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</row>
    <row r="103" spans="1:14" x14ac:dyDescent="0.35">
      <c r="A103" s="41"/>
      <c r="B103" s="41">
        <f>WEEKNUM(Table10[[#This Row],[Date ]])</f>
        <v>0</v>
      </c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</row>
    <row r="104" spans="1:14" x14ac:dyDescent="0.35">
      <c r="A104" s="41"/>
      <c r="B104" s="41">
        <f>WEEKNUM(Table10[[#This Row],[Date ]])</f>
        <v>0</v>
      </c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</row>
    <row r="105" spans="1:14" x14ac:dyDescent="0.35">
      <c r="A105" s="41"/>
      <c r="B105" s="41">
        <f>WEEKNUM(Table10[[#This Row],[Date ]])</f>
        <v>0</v>
      </c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</row>
    <row r="106" spans="1:14" x14ac:dyDescent="0.35">
      <c r="A106" s="41"/>
      <c r="B106" s="41">
        <f>WEEKNUM(Table10[[#This Row],[Date ]])</f>
        <v>0</v>
      </c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</row>
    <row r="107" spans="1:14" x14ac:dyDescent="0.35">
      <c r="A107" s="41"/>
      <c r="B107" s="41">
        <f>WEEKNUM(Table10[[#This Row],[Date ]])</f>
        <v>0</v>
      </c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</row>
    <row r="108" spans="1:14" x14ac:dyDescent="0.35">
      <c r="A108" s="41"/>
      <c r="B108" s="41">
        <f>WEEKNUM(Table10[[#This Row],[Date ]])</f>
        <v>0</v>
      </c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</row>
    <row r="109" spans="1:14" x14ac:dyDescent="0.35">
      <c r="A109" s="41"/>
      <c r="B109" s="41">
        <f>WEEKNUM(Table10[[#This Row],[Date ]])</f>
        <v>0</v>
      </c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</row>
    <row r="110" spans="1:14" x14ac:dyDescent="0.35">
      <c r="A110" s="41"/>
      <c r="B110" s="41">
        <f>WEEKNUM(Table10[[#This Row],[Date ]])</f>
        <v>0</v>
      </c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</row>
    <row r="111" spans="1:14" x14ac:dyDescent="0.35">
      <c r="A111" s="41"/>
      <c r="B111" s="41">
        <f>WEEKNUM(Table10[[#This Row],[Date ]])</f>
        <v>0</v>
      </c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</row>
    <row r="112" spans="1:14" x14ac:dyDescent="0.35">
      <c r="A112" s="41"/>
      <c r="B112" s="41">
        <f>WEEKNUM(Table10[[#This Row],[Date ]])</f>
        <v>0</v>
      </c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</row>
    <row r="113" spans="1:14" x14ac:dyDescent="0.35">
      <c r="A113" s="41"/>
      <c r="B113" s="41">
        <f>WEEKNUM(Table10[[#This Row],[Date ]])</f>
        <v>0</v>
      </c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</row>
    <row r="114" spans="1:14" x14ac:dyDescent="0.35">
      <c r="A114" s="41"/>
      <c r="B114" s="41">
        <f>WEEKNUM(Table10[[#This Row],[Date ]])</f>
        <v>0</v>
      </c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</row>
    <row r="115" spans="1:14" x14ac:dyDescent="0.35">
      <c r="A115" s="41"/>
      <c r="B115" s="41">
        <f>WEEKNUM(Table10[[#This Row],[Date ]])</f>
        <v>0</v>
      </c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</row>
    <row r="116" spans="1:14" x14ac:dyDescent="0.35">
      <c r="A116" s="41"/>
      <c r="B116" s="41">
        <f>WEEKNUM(Table10[[#This Row],[Date ]])</f>
        <v>0</v>
      </c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</row>
    <row r="117" spans="1:14" x14ac:dyDescent="0.35">
      <c r="A117" s="41"/>
      <c r="B117" s="41">
        <f>WEEKNUM(Table10[[#This Row],[Date ]])</f>
        <v>0</v>
      </c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</row>
    <row r="118" spans="1:14" x14ac:dyDescent="0.35">
      <c r="A118" s="41"/>
      <c r="B118" s="41">
        <f>WEEKNUM(Table10[[#This Row],[Date ]])</f>
        <v>0</v>
      </c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</row>
    <row r="119" spans="1:14" x14ac:dyDescent="0.35">
      <c r="A119" s="41"/>
      <c r="B119" s="41">
        <f>WEEKNUM(Table10[[#This Row],[Date ]])</f>
        <v>0</v>
      </c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</row>
    <row r="120" spans="1:14" x14ac:dyDescent="0.35">
      <c r="A120" s="41"/>
      <c r="B120" s="41">
        <f>WEEKNUM(Table10[[#This Row],[Date ]])</f>
        <v>0</v>
      </c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</row>
    <row r="121" spans="1:14" x14ac:dyDescent="0.35">
      <c r="A121" s="41"/>
      <c r="B121" s="41">
        <f>WEEKNUM(Table10[[#This Row],[Date ]])</f>
        <v>0</v>
      </c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</row>
    <row r="122" spans="1:14" x14ac:dyDescent="0.35">
      <c r="A122" s="41"/>
      <c r="B122" s="41">
        <f>WEEKNUM(Table10[[#This Row],[Date ]])</f>
        <v>0</v>
      </c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</row>
    <row r="123" spans="1:14" x14ac:dyDescent="0.35">
      <c r="A123" s="41"/>
      <c r="B123" s="41">
        <f>WEEKNUM(Table10[[#This Row],[Date ]])</f>
        <v>0</v>
      </c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</row>
    <row r="124" spans="1:14" x14ac:dyDescent="0.35">
      <c r="A124" s="41"/>
      <c r="B124" s="41">
        <f>WEEKNUM(Table10[[#This Row],[Date ]])</f>
        <v>0</v>
      </c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</row>
    <row r="125" spans="1:14" x14ac:dyDescent="0.35">
      <c r="A125" s="41"/>
      <c r="B125" s="41">
        <f>WEEKNUM(Table10[[#This Row],[Date ]])</f>
        <v>0</v>
      </c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</row>
    <row r="126" spans="1:14" x14ac:dyDescent="0.35">
      <c r="A126" s="41"/>
      <c r="B126" s="41">
        <f>WEEKNUM(Table10[[#This Row],[Date ]])</f>
        <v>0</v>
      </c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</row>
    <row r="127" spans="1:14" x14ac:dyDescent="0.35">
      <c r="A127" s="41"/>
      <c r="B127" s="41">
        <f>WEEKNUM(Table10[[#This Row],[Date ]])</f>
        <v>0</v>
      </c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</row>
    <row r="128" spans="1:14" x14ac:dyDescent="0.35">
      <c r="A128" s="41"/>
      <c r="B128" s="41">
        <f>WEEKNUM(Table10[[#This Row],[Date ]])</f>
        <v>0</v>
      </c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</row>
    <row r="129" spans="1:14" x14ac:dyDescent="0.35">
      <c r="A129" s="41"/>
      <c r="B129" s="41">
        <f>WEEKNUM(Table10[[#This Row],[Date ]])</f>
        <v>0</v>
      </c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</row>
    <row r="130" spans="1:14" x14ac:dyDescent="0.35">
      <c r="A130" s="41"/>
      <c r="B130" s="41">
        <f>WEEKNUM(Table10[[#This Row],[Date ]])</f>
        <v>0</v>
      </c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</row>
    <row r="131" spans="1:14" x14ac:dyDescent="0.35">
      <c r="A131" s="41"/>
      <c r="B131" s="41">
        <f>WEEKNUM(Table10[[#This Row],[Date ]])</f>
        <v>0</v>
      </c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</row>
    <row r="132" spans="1:14" x14ac:dyDescent="0.35">
      <c r="A132" s="41"/>
      <c r="B132" s="41">
        <f>WEEKNUM(Table10[[#This Row],[Date ]])</f>
        <v>0</v>
      </c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</row>
    <row r="133" spans="1:14" x14ac:dyDescent="0.35">
      <c r="A133" s="41"/>
      <c r="B133" s="41">
        <f>WEEKNUM(Table10[[#This Row],[Date ]])</f>
        <v>0</v>
      </c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</row>
    <row r="134" spans="1:14" x14ac:dyDescent="0.35">
      <c r="A134" s="41"/>
      <c r="B134" s="41">
        <f>WEEKNUM(Table10[[#This Row],[Date ]])</f>
        <v>0</v>
      </c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</row>
    <row r="135" spans="1:14" x14ac:dyDescent="0.35">
      <c r="A135" s="41"/>
      <c r="B135" s="41">
        <f>WEEKNUM(Table10[[#This Row],[Date ]])</f>
        <v>0</v>
      </c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</row>
    <row r="136" spans="1:14" x14ac:dyDescent="0.35">
      <c r="A136" s="41"/>
      <c r="B136" s="41">
        <f>WEEKNUM(Table10[[#This Row],[Date ]])</f>
        <v>0</v>
      </c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</row>
    <row r="137" spans="1:14" x14ac:dyDescent="0.35">
      <c r="A137" s="41"/>
      <c r="B137" s="41">
        <f>WEEKNUM(Table10[[#This Row],[Date ]])</f>
        <v>0</v>
      </c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</row>
    <row r="138" spans="1:14" x14ac:dyDescent="0.35">
      <c r="A138" s="41"/>
      <c r="B138" s="41">
        <f>WEEKNUM(Table10[[#This Row],[Date ]])</f>
        <v>0</v>
      </c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</row>
    <row r="139" spans="1:14" x14ac:dyDescent="0.35">
      <c r="A139" s="41"/>
      <c r="B139" s="41">
        <f>WEEKNUM(Table10[[#This Row],[Date ]])</f>
        <v>0</v>
      </c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</row>
    <row r="140" spans="1:14" x14ac:dyDescent="0.35">
      <c r="A140" s="41"/>
      <c r="B140" s="41">
        <f>WEEKNUM(Table10[[#This Row],[Date ]])</f>
        <v>0</v>
      </c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</row>
    <row r="141" spans="1:14" x14ac:dyDescent="0.35">
      <c r="A141" s="41"/>
      <c r="B141" s="41">
        <f>WEEKNUM(Table10[[#This Row],[Date ]])</f>
        <v>0</v>
      </c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</row>
    <row r="142" spans="1:14" x14ac:dyDescent="0.35">
      <c r="A142" s="41"/>
      <c r="B142" s="41">
        <f>WEEKNUM(Table10[[#This Row],[Date ]])</f>
        <v>0</v>
      </c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</row>
    <row r="143" spans="1:14" x14ac:dyDescent="0.35">
      <c r="A143" s="41"/>
      <c r="B143" s="41">
        <f>WEEKNUM(Table10[[#This Row],[Date ]])</f>
        <v>0</v>
      </c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</row>
    <row r="144" spans="1:14" x14ac:dyDescent="0.35">
      <c r="A144" s="41"/>
      <c r="B144" s="41">
        <f>WEEKNUM(Table10[[#This Row],[Date ]])</f>
        <v>0</v>
      </c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</row>
    <row r="145" spans="1:14" x14ac:dyDescent="0.35">
      <c r="A145" s="41"/>
      <c r="B145" s="41">
        <f>WEEKNUM(Table10[[#This Row],[Date ]])</f>
        <v>0</v>
      </c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</row>
    <row r="146" spans="1:14" x14ac:dyDescent="0.35">
      <c r="A146" s="41"/>
      <c r="B146" s="41">
        <f>WEEKNUM(Table10[[#This Row],[Date ]])</f>
        <v>0</v>
      </c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</row>
    <row r="147" spans="1:14" x14ac:dyDescent="0.35">
      <c r="A147" s="41"/>
      <c r="B147" s="41">
        <f>WEEKNUM(Table10[[#This Row],[Date ]])</f>
        <v>0</v>
      </c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</row>
    <row r="148" spans="1:14" x14ac:dyDescent="0.35">
      <c r="A148" s="41"/>
      <c r="B148" s="41">
        <f>WEEKNUM(Table10[[#This Row],[Date ]])</f>
        <v>0</v>
      </c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</row>
    <row r="149" spans="1:14" x14ac:dyDescent="0.35">
      <c r="A149" s="41"/>
      <c r="B149" s="41">
        <f>WEEKNUM(Table10[[#This Row],[Date ]])</f>
        <v>0</v>
      </c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</row>
    <row r="150" spans="1:14" x14ac:dyDescent="0.35">
      <c r="A150" s="41"/>
      <c r="B150" s="41">
        <f>WEEKNUM(Table10[[#This Row],[Date ]])</f>
        <v>0</v>
      </c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</row>
    <row r="151" spans="1:14" x14ac:dyDescent="0.35">
      <c r="A151" s="41"/>
      <c r="B151" s="41">
        <f>WEEKNUM(Table10[[#This Row],[Date ]])</f>
        <v>0</v>
      </c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</row>
    <row r="152" spans="1:14" x14ac:dyDescent="0.35">
      <c r="A152" s="41"/>
      <c r="B152" s="41">
        <f>WEEKNUM(Table10[[#This Row],[Date ]])</f>
        <v>0</v>
      </c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</row>
    <row r="153" spans="1:14" x14ac:dyDescent="0.35">
      <c r="A153" s="41"/>
      <c r="B153" s="41">
        <f>WEEKNUM(Table10[[#This Row],[Date ]])</f>
        <v>0</v>
      </c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</row>
    <row r="154" spans="1:14" x14ac:dyDescent="0.35">
      <c r="A154" s="41"/>
      <c r="B154" s="41">
        <f>WEEKNUM(Table10[[#This Row],[Date ]])</f>
        <v>0</v>
      </c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</row>
    <row r="155" spans="1:14" x14ac:dyDescent="0.35">
      <c r="A155" s="41"/>
      <c r="B155" s="41">
        <f>WEEKNUM(Table10[[#This Row],[Date ]])</f>
        <v>0</v>
      </c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</row>
    <row r="156" spans="1:14" x14ac:dyDescent="0.35">
      <c r="A156" s="41"/>
      <c r="B156" s="41">
        <f>WEEKNUM(Table10[[#This Row],[Date ]])</f>
        <v>0</v>
      </c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</row>
    <row r="157" spans="1:14" x14ac:dyDescent="0.35">
      <c r="A157" s="41"/>
      <c r="B157" s="41">
        <f>WEEKNUM(Table10[[#This Row],[Date ]])</f>
        <v>0</v>
      </c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</row>
    <row r="158" spans="1:14" x14ac:dyDescent="0.35">
      <c r="A158" s="41"/>
      <c r="B158" s="41">
        <f>WEEKNUM(Table10[[#This Row],[Date ]])</f>
        <v>0</v>
      </c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</row>
    <row r="159" spans="1:14" x14ac:dyDescent="0.35">
      <c r="A159" s="41"/>
      <c r="B159" s="41">
        <f>WEEKNUM(Table10[[#This Row],[Date ]])</f>
        <v>0</v>
      </c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</row>
    <row r="160" spans="1:14" x14ac:dyDescent="0.35">
      <c r="A160" s="41"/>
      <c r="B160" s="41">
        <f>WEEKNUM(Table10[[#This Row],[Date ]])</f>
        <v>0</v>
      </c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</row>
    <row r="161" spans="1:14" x14ac:dyDescent="0.35">
      <c r="A161" s="41"/>
      <c r="B161" s="41">
        <f>WEEKNUM(Table10[[#This Row],[Date ]])</f>
        <v>0</v>
      </c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</row>
    <row r="162" spans="1:14" x14ac:dyDescent="0.35">
      <c r="A162" s="41"/>
      <c r="B162" s="41">
        <f>WEEKNUM(Table10[[#This Row],[Date ]])</f>
        <v>0</v>
      </c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</row>
    <row r="163" spans="1:14" x14ac:dyDescent="0.35">
      <c r="A163" s="41"/>
      <c r="B163" s="41">
        <f>WEEKNUM(Table10[[#This Row],[Date ]])</f>
        <v>0</v>
      </c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</row>
    <row r="164" spans="1:14" x14ac:dyDescent="0.35">
      <c r="A164" s="41"/>
      <c r="B164" s="41">
        <f>WEEKNUM(Table10[[#This Row],[Date ]])</f>
        <v>0</v>
      </c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</row>
    <row r="165" spans="1:14" x14ac:dyDescent="0.35">
      <c r="A165" s="41"/>
      <c r="B165" s="41">
        <f>WEEKNUM(Table10[[#This Row],[Date ]])</f>
        <v>0</v>
      </c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</row>
    <row r="166" spans="1:14" x14ac:dyDescent="0.35">
      <c r="A166" s="41"/>
      <c r="B166" s="41">
        <f>WEEKNUM(Table10[[#This Row],[Date ]])</f>
        <v>0</v>
      </c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</row>
    <row r="167" spans="1:14" x14ac:dyDescent="0.35">
      <c r="A167" s="41"/>
      <c r="B167" s="41">
        <f>WEEKNUM(Table10[[#This Row],[Date ]])</f>
        <v>0</v>
      </c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</row>
    <row r="168" spans="1:14" x14ac:dyDescent="0.35">
      <c r="A168" s="41"/>
      <c r="B168" s="41">
        <f>WEEKNUM(Table10[[#This Row],[Date ]])</f>
        <v>0</v>
      </c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</row>
    <row r="169" spans="1:14" x14ac:dyDescent="0.35">
      <c r="A169" s="41"/>
      <c r="B169" s="41">
        <f>WEEKNUM(Table10[[#This Row],[Date ]])</f>
        <v>0</v>
      </c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</row>
    <row r="170" spans="1:14" x14ac:dyDescent="0.35">
      <c r="A170" s="41"/>
      <c r="B170" s="41">
        <f>WEEKNUM(Table10[[#This Row],[Date ]])</f>
        <v>0</v>
      </c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</row>
    <row r="171" spans="1:14" x14ac:dyDescent="0.35">
      <c r="A171" s="41"/>
      <c r="B171" s="41">
        <f>WEEKNUM(Table10[[#This Row],[Date ]])</f>
        <v>0</v>
      </c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</row>
    <row r="172" spans="1:14" x14ac:dyDescent="0.35">
      <c r="A172" s="41"/>
      <c r="B172" s="41">
        <f>WEEKNUM(Table10[[#This Row],[Date ]])</f>
        <v>0</v>
      </c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</row>
    <row r="173" spans="1:14" x14ac:dyDescent="0.35">
      <c r="A173" s="41"/>
      <c r="B173" s="41">
        <f>WEEKNUM(Table10[[#This Row],[Date ]])</f>
        <v>0</v>
      </c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</row>
    <row r="174" spans="1:14" x14ac:dyDescent="0.35">
      <c r="A174" s="41"/>
      <c r="B174" s="41">
        <f>WEEKNUM(Table10[[#This Row],[Date ]])</f>
        <v>0</v>
      </c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</row>
    <row r="175" spans="1:14" x14ac:dyDescent="0.35">
      <c r="A175" s="41"/>
      <c r="B175" s="41">
        <f>WEEKNUM(Table10[[#This Row],[Date ]])</f>
        <v>0</v>
      </c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</row>
    <row r="176" spans="1:14" x14ac:dyDescent="0.35">
      <c r="A176" s="41"/>
      <c r="B176" s="41">
        <f>WEEKNUM(Table10[[#This Row],[Date ]])</f>
        <v>0</v>
      </c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</row>
    <row r="177" spans="1:14" x14ac:dyDescent="0.35">
      <c r="A177" s="41"/>
      <c r="B177" s="41">
        <f>WEEKNUM(Table10[[#This Row],[Date ]])</f>
        <v>0</v>
      </c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</row>
    <row r="178" spans="1:14" x14ac:dyDescent="0.35">
      <c r="A178" s="41"/>
      <c r="B178" s="41">
        <f>WEEKNUM(Table10[[#This Row],[Date ]])</f>
        <v>0</v>
      </c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</row>
    <row r="179" spans="1:14" x14ac:dyDescent="0.35">
      <c r="A179" s="41"/>
      <c r="B179" s="41">
        <f>WEEKNUM(Table10[[#This Row],[Date ]])</f>
        <v>0</v>
      </c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</row>
    <row r="180" spans="1:14" x14ac:dyDescent="0.35">
      <c r="A180" s="41"/>
      <c r="B180" s="41">
        <f>WEEKNUM(Table10[[#This Row],[Date ]])</f>
        <v>0</v>
      </c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</row>
    <row r="181" spans="1:14" x14ac:dyDescent="0.35">
      <c r="A181" s="41"/>
      <c r="B181" s="41">
        <f>WEEKNUM(Table10[[#This Row],[Date ]])</f>
        <v>0</v>
      </c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</row>
    <row r="182" spans="1:14" x14ac:dyDescent="0.35">
      <c r="A182" s="41"/>
      <c r="B182" s="41">
        <f>WEEKNUM(Table10[[#This Row],[Date ]])</f>
        <v>0</v>
      </c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</row>
    <row r="183" spans="1:14" x14ac:dyDescent="0.35">
      <c r="A183" s="41"/>
      <c r="B183" s="41">
        <f>WEEKNUM(Table10[[#This Row],[Date ]])</f>
        <v>0</v>
      </c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</row>
    <row r="184" spans="1:14" x14ac:dyDescent="0.35">
      <c r="A184" s="41"/>
      <c r="B184" s="41">
        <f>WEEKNUM(Table10[[#This Row],[Date ]])</f>
        <v>0</v>
      </c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</row>
    <row r="185" spans="1:14" x14ac:dyDescent="0.35">
      <c r="A185" s="41"/>
      <c r="B185" s="41">
        <f>WEEKNUM(Table10[[#This Row],[Date ]])</f>
        <v>0</v>
      </c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</row>
    <row r="186" spans="1:14" x14ac:dyDescent="0.35">
      <c r="A186" s="41"/>
      <c r="B186" s="41">
        <f>WEEKNUM(Table10[[#This Row],[Date ]])</f>
        <v>0</v>
      </c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</row>
    <row r="187" spans="1:14" x14ac:dyDescent="0.35">
      <c r="A187" s="41"/>
      <c r="B187" s="41">
        <f>WEEKNUM(Table10[[#This Row],[Date ]])</f>
        <v>0</v>
      </c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</row>
    <row r="188" spans="1:14" x14ac:dyDescent="0.35">
      <c r="A188" s="41"/>
      <c r="B188" s="41">
        <f>WEEKNUM(Table10[[#This Row],[Date ]])</f>
        <v>0</v>
      </c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</row>
    <row r="189" spans="1:14" x14ac:dyDescent="0.35">
      <c r="A189" s="41"/>
      <c r="B189" s="41">
        <f>WEEKNUM(Table10[[#This Row],[Date ]])</f>
        <v>0</v>
      </c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</row>
    <row r="190" spans="1:14" x14ac:dyDescent="0.35">
      <c r="A190" s="41"/>
      <c r="B190" s="41">
        <f>WEEKNUM(Table10[[#This Row],[Date ]])</f>
        <v>0</v>
      </c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</row>
    <row r="191" spans="1:14" x14ac:dyDescent="0.35">
      <c r="A191" s="41"/>
      <c r="B191" s="41">
        <f>WEEKNUM(Table10[[#This Row],[Date ]])</f>
        <v>0</v>
      </c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</row>
    <row r="192" spans="1:14" x14ac:dyDescent="0.35">
      <c r="A192" s="41"/>
      <c r="B192" s="41">
        <f>WEEKNUM(Table10[[#This Row],[Date ]])</f>
        <v>0</v>
      </c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</row>
    <row r="193" spans="1:14" x14ac:dyDescent="0.35">
      <c r="A193" s="41"/>
      <c r="B193" s="41">
        <f>WEEKNUM(Table10[[#This Row],[Date ]])</f>
        <v>0</v>
      </c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</row>
    <row r="194" spans="1:14" x14ac:dyDescent="0.35">
      <c r="A194" s="41"/>
      <c r="B194" s="41">
        <f>WEEKNUM(Table10[[#This Row],[Date ]])</f>
        <v>0</v>
      </c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</row>
    <row r="195" spans="1:14" x14ac:dyDescent="0.35">
      <c r="A195" s="41"/>
      <c r="B195" s="41">
        <f>WEEKNUM(Table10[[#This Row],[Date ]])</f>
        <v>0</v>
      </c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</row>
    <row r="196" spans="1:14" ht="21" x14ac:dyDescent="0.35">
      <c r="A196" s="41"/>
      <c r="B196" s="41">
        <f>WEEKNUM(Table10[[#This Row],[Date ]])</f>
        <v>0</v>
      </c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</row>
    <row r="197" spans="1:14" ht="21" x14ac:dyDescent="0.35">
      <c r="A197" s="41"/>
      <c r="B197" s="41">
        <f>WEEKNUM(Table10[[#This Row],[Date ]])</f>
        <v>0</v>
      </c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</row>
    <row r="198" spans="1:14" x14ac:dyDescent="0.35">
      <c r="A198" s="41"/>
      <c r="B198" s="41">
        <f>WEEKNUM(Table10[[#This Row],[Date ]])</f>
        <v>0</v>
      </c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</row>
    <row r="199" spans="1:14" x14ac:dyDescent="0.35">
      <c r="A199" s="41"/>
      <c r="B199" s="41">
        <f>WEEKNUM(Table10[[#This Row],[Date ]])</f>
        <v>0</v>
      </c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</row>
    <row r="200" spans="1:14" x14ac:dyDescent="0.35">
      <c r="A200" s="41"/>
      <c r="B200" s="41">
        <f>WEEKNUM(Table10[[#This Row],[Date ]])</f>
        <v>0</v>
      </c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</row>
    <row r="201" spans="1:14" x14ac:dyDescent="0.35">
      <c r="A201" s="41"/>
      <c r="B201" s="41">
        <f>WEEKNUM(Table10[[#This Row],[Date ]])</f>
        <v>0</v>
      </c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</row>
    <row r="202" spans="1:14" x14ac:dyDescent="0.35">
      <c r="A202" s="41"/>
      <c r="B202" s="41">
        <f>WEEKNUM(Table10[[#This Row],[Date ]])</f>
        <v>0</v>
      </c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</row>
    <row r="203" spans="1:14" x14ac:dyDescent="0.35">
      <c r="A203" s="41"/>
      <c r="B203" s="41">
        <f>WEEKNUM(Table10[[#This Row],[Date ]])</f>
        <v>0</v>
      </c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</row>
    <row r="204" spans="1:14" ht="21" x14ac:dyDescent="0.35">
      <c r="A204" s="41"/>
      <c r="B204" s="41">
        <f>WEEKNUM(Table10[[#This Row],[Date ]])</f>
        <v>0</v>
      </c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</row>
    <row r="205" spans="1:14" x14ac:dyDescent="0.35">
      <c r="A205" s="41"/>
      <c r="B205" s="41">
        <f>WEEKNUM(Table10[[#This Row],[Date ]])</f>
        <v>0</v>
      </c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</row>
    <row r="206" spans="1:14" x14ac:dyDescent="0.35">
      <c r="A206" s="41"/>
      <c r="B206" s="41">
        <f>WEEKNUM(Table10[[#This Row],[Date ]])</f>
        <v>0</v>
      </c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</row>
    <row r="207" spans="1:14" ht="21" x14ac:dyDescent="0.35">
      <c r="A207" s="41"/>
      <c r="B207" s="41">
        <f>WEEKNUM(Table10[[#This Row],[Date ]])</f>
        <v>0</v>
      </c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</row>
    <row r="208" spans="1:14" ht="21" x14ac:dyDescent="0.35">
      <c r="A208" s="41"/>
      <c r="B208" s="41">
        <f>WEEKNUM(Table10[[#This Row],[Date ]])</f>
        <v>0</v>
      </c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</row>
    <row r="209" spans="1:14" ht="21" x14ac:dyDescent="0.35">
      <c r="A209" s="41"/>
      <c r="B209" s="41">
        <f>WEEKNUM(Table10[[#This Row],[Date ]])</f>
        <v>0</v>
      </c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</row>
    <row r="210" spans="1:14" x14ac:dyDescent="0.35">
      <c r="A210" s="41"/>
      <c r="B210" s="41">
        <f>WEEKNUM(Table10[[#This Row],[Date ]])</f>
        <v>0</v>
      </c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</row>
    <row r="211" spans="1:14" x14ac:dyDescent="0.35">
      <c r="A211" s="41"/>
      <c r="B211" s="41">
        <f>WEEKNUM(Table10[[#This Row],[Date ]])</f>
        <v>0</v>
      </c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</row>
    <row r="212" spans="1:14" x14ac:dyDescent="0.35">
      <c r="A212" s="41"/>
      <c r="B212" s="41">
        <f>WEEKNUM(Table10[[#This Row],[Date ]])</f>
        <v>0</v>
      </c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</row>
    <row r="213" spans="1:14" x14ac:dyDescent="0.35">
      <c r="A213" s="41"/>
      <c r="B213" s="41">
        <f>WEEKNUM(Table10[[#This Row],[Date ]])</f>
        <v>0</v>
      </c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</row>
    <row r="214" spans="1:14" x14ac:dyDescent="0.35">
      <c r="A214" s="41"/>
      <c r="B214" s="41">
        <f>WEEKNUM(Table10[[#This Row],[Date ]])</f>
        <v>0</v>
      </c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</row>
    <row r="215" spans="1:14" x14ac:dyDescent="0.35">
      <c r="A215" s="41"/>
      <c r="B215" s="41">
        <f>WEEKNUM(Table10[[#This Row],[Date ]])</f>
        <v>0</v>
      </c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</row>
    <row r="216" spans="1:14" ht="21" x14ac:dyDescent="0.35">
      <c r="A216" s="41"/>
      <c r="B216" s="41">
        <f>WEEKNUM(Table10[[#This Row],[Date ]])</f>
        <v>0</v>
      </c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</row>
    <row r="217" spans="1:14" x14ac:dyDescent="0.35">
      <c r="A217" s="41"/>
      <c r="B217" s="41">
        <f>WEEKNUM(Table10[[#This Row],[Date ]])</f>
        <v>0</v>
      </c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</row>
    <row r="218" spans="1:14" ht="21" x14ac:dyDescent="0.35">
      <c r="A218" s="41"/>
      <c r="B218" s="41">
        <f>WEEKNUM(Table10[[#This Row],[Date ]])</f>
        <v>0</v>
      </c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</row>
    <row r="219" spans="1:14" x14ac:dyDescent="0.35">
      <c r="A219" s="41"/>
      <c r="B219" s="41">
        <f>WEEKNUM(Table10[[#This Row],[Date ]])</f>
        <v>0</v>
      </c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</row>
    <row r="220" spans="1:14" x14ac:dyDescent="0.35">
      <c r="A220" s="41"/>
      <c r="B220" s="41">
        <f>WEEKNUM(Table10[[#This Row],[Date ]])</f>
        <v>0</v>
      </c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</row>
    <row r="221" spans="1:14" x14ac:dyDescent="0.35">
      <c r="A221" s="41"/>
      <c r="B221" s="41">
        <f>WEEKNUM(Table10[[#This Row],[Date ]])</f>
        <v>0</v>
      </c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</row>
    <row r="222" spans="1:14" x14ac:dyDescent="0.35">
      <c r="A222" s="41"/>
      <c r="B222" s="41">
        <f>WEEKNUM(Table10[[#This Row],[Date ]])</f>
        <v>0</v>
      </c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</row>
    <row r="223" spans="1:14" x14ac:dyDescent="0.35">
      <c r="A223" s="41"/>
      <c r="B223" s="41">
        <f>WEEKNUM(Table10[[#This Row],[Date ]])</f>
        <v>0</v>
      </c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</row>
    <row r="224" spans="1:14" x14ac:dyDescent="0.35">
      <c r="A224" s="41"/>
      <c r="B224" s="41">
        <f>WEEKNUM(Table10[[#This Row],[Date ]])</f>
        <v>0</v>
      </c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</row>
    <row r="225" spans="1:14" x14ac:dyDescent="0.35">
      <c r="A225" s="41"/>
      <c r="B225" s="41">
        <f>WEEKNUM(Table10[[#This Row],[Date ]])</f>
        <v>0</v>
      </c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</row>
    <row r="226" spans="1:14" x14ac:dyDescent="0.35">
      <c r="A226" s="41"/>
      <c r="B226" s="41">
        <f>WEEKNUM(Table10[[#This Row],[Date ]])</f>
        <v>0</v>
      </c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</row>
    <row r="227" spans="1:14" x14ac:dyDescent="0.35">
      <c r="A227" s="41"/>
      <c r="B227" s="41">
        <f>WEEKNUM(Table10[[#This Row],[Date ]])</f>
        <v>0</v>
      </c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</row>
    <row r="228" spans="1:14" ht="21" x14ac:dyDescent="0.35">
      <c r="A228" s="41"/>
      <c r="B228" s="41">
        <f>WEEKNUM(Table10[[#This Row],[Date ]])</f>
        <v>0</v>
      </c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</row>
    <row r="229" spans="1:14" x14ac:dyDescent="0.35">
      <c r="A229" s="41"/>
      <c r="B229" s="41">
        <f>WEEKNUM(Table10[[#This Row],[Date ]])</f>
        <v>0</v>
      </c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</row>
    <row r="230" spans="1:14" x14ac:dyDescent="0.35">
      <c r="A230" s="41"/>
      <c r="B230" s="41">
        <f>WEEKNUM(Table10[[#This Row],[Date ]])</f>
        <v>0</v>
      </c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</row>
    <row r="231" spans="1:14" x14ac:dyDescent="0.35">
      <c r="A231" s="41"/>
      <c r="B231" s="41">
        <f>WEEKNUM(Table10[[#This Row],[Date ]])</f>
        <v>0</v>
      </c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</row>
    <row r="232" spans="1:14" x14ac:dyDescent="0.35">
      <c r="A232" s="41"/>
      <c r="B232" s="41">
        <f>WEEKNUM(Table10[[#This Row],[Date ]])</f>
        <v>0</v>
      </c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</row>
  </sheetData>
  <mergeCells count="4">
    <mergeCell ref="D1:L1"/>
    <mergeCell ref="D2:L2"/>
    <mergeCell ref="A4:N4"/>
    <mergeCell ref="A1:C2"/>
  </mergeCells>
  <phoneticPr fontId="11" type="noConversion"/>
  <conditionalFormatting sqref="M5:M232">
    <cfRule type="cellIs" dxfId="6" priority="7" operator="equal">
      <formula>"En Cours"</formula>
    </cfRule>
    <cfRule type="cellIs" dxfId="5" priority="8" operator="equal">
      <formula>"Encours"</formula>
    </cfRule>
    <cfRule type="cellIs" dxfId="4" priority="9" operator="equal">
      <formula>"Terminer"</formula>
    </cfRule>
  </conditionalFormatting>
  <pageMargins left="0.7" right="0.7" top="0.75" bottom="0.75" header="0.3" footer="0.3"/>
  <pageSetup scale="50" orientation="portrait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9CEB580-FCD7-4EAF-B481-E49DBCAC1DF6}">
          <x14:formula1>
            <xm:f>Donnée!$A$9:$A$23</xm:f>
          </x14:formula1>
          <xm:sqref>I6:I232</xm:sqref>
        </x14:dataValidation>
        <x14:dataValidation type="list" allowBlank="1" showInputMessage="1" showErrorMessage="1" xr:uid="{F3880F89-BA33-4E98-A106-E50DD54CDF6F}">
          <x14:formula1>
            <xm:f>Donnée!$E$9:$E$11</xm:f>
          </x14:formula1>
          <xm:sqref>D6:D232</xm:sqref>
        </x14:dataValidation>
        <x14:dataValidation type="list" allowBlank="1" showInputMessage="1" showErrorMessage="1" xr:uid="{46F9B6AB-7F4D-45A7-B184-0A8265C534A8}">
          <x14:formula1>
            <xm:f>Donnée!$D$9:$D$23</xm:f>
          </x14:formula1>
          <xm:sqref>H6:H232</xm:sqref>
        </x14:dataValidation>
        <x14:dataValidation type="list" allowBlank="1" showInputMessage="1" showErrorMessage="1" xr:uid="{F9D2C5D7-0F29-40D8-8350-279609F64FA9}">
          <x14:formula1>
            <xm:f>Donnée!$B$9:$B$10</xm:f>
          </x14:formula1>
          <xm:sqref>M6:M232</xm:sqref>
        </x14:dataValidation>
        <x14:dataValidation type="list" allowBlank="1" showInputMessage="1" showErrorMessage="1" xr:uid="{922E0895-426B-4B11-9684-C705CBB58ABC}">
          <x14:formula1>
            <xm:f>Donnée!$F$9:$F$22</xm:f>
          </x14:formula1>
          <xm:sqref>E6:E232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971D9-BA21-465C-9D7B-044017CA73F9}">
  <dimension ref="A1:M67"/>
  <sheetViews>
    <sheetView showGridLines="0" zoomScale="70" zoomScaleNormal="70" workbookViewId="0">
      <selection activeCell="A20" sqref="A14:A55"/>
    </sheetView>
  </sheetViews>
  <sheetFormatPr defaultColWidth="9.1796875" defaultRowHeight="14.5" x14ac:dyDescent="0.35"/>
  <cols>
    <col min="1" max="1" width="30.54296875" bestFit="1" customWidth="1"/>
    <col min="2" max="2" width="32.26953125" bestFit="1" customWidth="1"/>
    <col min="3" max="3" width="16.453125" bestFit="1" customWidth="1"/>
    <col min="4" max="4" width="19.7265625" bestFit="1" customWidth="1"/>
    <col min="5" max="5" width="14.26953125" bestFit="1" customWidth="1"/>
    <col min="6" max="6" width="19.7265625" bestFit="1" customWidth="1"/>
    <col min="7" max="7" width="21.453125" bestFit="1" customWidth="1"/>
    <col min="8" max="8" width="19.1796875" bestFit="1" customWidth="1"/>
    <col min="9" max="9" width="18.453125" bestFit="1" customWidth="1"/>
    <col min="10" max="10" width="22.453125" bestFit="1" customWidth="1"/>
    <col min="11" max="11" width="20.453125" bestFit="1" customWidth="1"/>
    <col min="13" max="13" width="11.26953125" customWidth="1"/>
  </cols>
  <sheetData>
    <row r="1" spans="1:13" ht="21.5" thickBot="1" x14ac:dyDescent="0.4">
      <c r="A1" s="52" t="s">
        <v>0</v>
      </c>
      <c r="B1" s="54"/>
      <c r="C1" s="43" t="s">
        <v>1</v>
      </c>
      <c r="D1" s="44"/>
      <c r="E1" s="44"/>
      <c r="F1" s="44"/>
      <c r="G1" s="44"/>
      <c r="H1" s="44"/>
      <c r="I1" s="44"/>
      <c r="J1" s="44"/>
      <c r="K1" s="45"/>
      <c r="L1" s="1" t="s">
        <v>2</v>
      </c>
      <c r="M1" s="2">
        <v>0</v>
      </c>
    </row>
    <row r="2" spans="1:13" ht="24" thickBot="1" x14ac:dyDescent="0.4">
      <c r="A2" s="55"/>
      <c r="B2" s="57"/>
      <c r="C2" s="46" t="s">
        <v>20</v>
      </c>
      <c r="D2" s="47"/>
      <c r="E2" s="47"/>
      <c r="F2" s="47"/>
      <c r="G2" s="47"/>
      <c r="H2" s="47"/>
      <c r="I2" s="47"/>
      <c r="J2" s="47"/>
      <c r="K2" s="48"/>
      <c r="L2" s="1" t="s">
        <v>4</v>
      </c>
      <c r="M2" s="3">
        <v>45424</v>
      </c>
    </row>
    <row r="3" spans="1:13" ht="7.5" customHeight="1" x14ac:dyDescent="0.35"/>
    <row r="4" spans="1:13" ht="22.5" customHeight="1" x14ac:dyDescent="0.35">
      <c r="A4" s="49" t="s">
        <v>21</v>
      </c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1"/>
    </row>
    <row r="10" spans="1:13" x14ac:dyDescent="0.35">
      <c r="A10" s="18" t="s">
        <v>8</v>
      </c>
      <c r="B10" t="s">
        <v>22</v>
      </c>
    </row>
    <row r="11" spans="1:13" x14ac:dyDescent="0.35">
      <c r="A11" s="18" t="s">
        <v>7</v>
      </c>
      <c r="B11" t="s">
        <v>22</v>
      </c>
    </row>
    <row r="13" spans="1:13" x14ac:dyDescent="0.35">
      <c r="A13" s="18" t="s">
        <v>23</v>
      </c>
      <c r="B13" t="s">
        <v>24</v>
      </c>
      <c r="C13" t="s">
        <v>25</v>
      </c>
    </row>
    <row r="14" spans="1:13" x14ac:dyDescent="0.35">
      <c r="A14" s="19" t="s">
        <v>26</v>
      </c>
      <c r="B14">
        <v>700</v>
      </c>
      <c r="C14" s="20">
        <f t="shared" ref="C14:C45" si="0">B14/SUM($B$14:$B$66)</f>
        <v>6.9238377843719084E-2</v>
      </c>
    </row>
    <row r="15" spans="1:13" x14ac:dyDescent="0.35">
      <c r="A15" s="19" t="s">
        <v>27</v>
      </c>
      <c r="B15">
        <v>680</v>
      </c>
      <c r="C15" s="20">
        <f t="shared" si="0"/>
        <v>6.7260138476755688E-2</v>
      </c>
    </row>
    <row r="16" spans="1:13" x14ac:dyDescent="0.35">
      <c r="A16" s="19" t="s">
        <v>28</v>
      </c>
      <c r="B16">
        <v>565</v>
      </c>
      <c r="C16" s="20">
        <f t="shared" si="0"/>
        <v>5.5885262116716121E-2</v>
      </c>
    </row>
    <row r="17" spans="1:3" x14ac:dyDescent="0.35">
      <c r="A17" s="19" t="s">
        <v>29</v>
      </c>
      <c r="B17">
        <v>525</v>
      </c>
      <c r="C17" s="20">
        <f t="shared" si="0"/>
        <v>5.192878338278932E-2</v>
      </c>
    </row>
    <row r="18" spans="1:3" x14ac:dyDescent="0.35">
      <c r="A18" s="19" t="s">
        <v>30</v>
      </c>
      <c r="B18">
        <v>255</v>
      </c>
      <c r="C18" s="20">
        <f t="shared" si="0"/>
        <v>2.5222551928783383E-2</v>
      </c>
    </row>
    <row r="19" spans="1:3" x14ac:dyDescent="0.35">
      <c r="A19" s="19" t="s">
        <v>31</v>
      </c>
      <c r="B19">
        <v>245</v>
      </c>
      <c r="C19" s="20">
        <f t="shared" si="0"/>
        <v>2.4233432245301681E-2</v>
      </c>
    </row>
    <row r="20" spans="1:3" x14ac:dyDescent="0.35">
      <c r="A20" s="19" t="s">
        <v>32</v>
      </c>
      <c r="B20">
        <v>200</v>
      </c>
      <c r="C20" s="20">
        <f t="shared" si="0"/>
        <v>1.9782393669634024E-2</v>
      </c>
    </row>
    <row r="21" spans="1:3" x14ac:dyDescent="0.35">
      <c r="A21" s="19" t="s">
        <v>33</v>
      </c>
      <c r="B21">
        <v>190</v>
      </c>
      <c r="C21" s="20">
        <f t="shared" si="0"/>
        <v>1.8793273986152326E-2</v>
      </c>
    </row>
    <row r="22" spans="1:3" x14ac:dyDescent="0.35">
      <c r="A22" s="19" t="s">
        <v>34</v>
      </c>
      <c r="B22">
        <v>170</v>
      </c>
      <c r="C22" s="20">
        <f t="shared" si="0"/>
        <v>1.6815034619188922E-2</v>
      </c>
    </row>
    <row r="23" spans="1:3" x14ac:dyDescent="0.35">
      <c r="A23" s="19" t="s">
        <v>35</v>
      </c>
      <c r="B23">
        <v>140</v>
      </c>
      <c r="C23" s="20">
        <f t="shared" si="0"/>
        <v>1.3847675568743818E-2</v>
      </c>
    </row>
    <row r="24" spans="1:3" x14ac:dyDescent="0.35">
      <c r="A24" s="19" t="s">
        <v>36</v>
      </c>
      <c r="B24">
        <v>115</v>
      </c>
      <c r="C24" s="20">
        <f t="shared" si="0"/>
        <v>1.1374876360039565E-2</v>
      </c>
    </row>
    <row r="25" spans="1:3" x14ac:dyDescent="0.35">
      <c r="A25" s="19" t="s">
        <v>37</v>
      </c>
      <c r="B25">
        <v>105</v>
      </c>
      <c r="C25" s="20">
        <f t="shared" si="0"/>
        <v>1.0385756676557863E-2</v>
      </c>
    </row>
    <row r="26" spans="1:3" x14ac:dyDescent="0.35">
      <c r="A26" s="19" t="s">
        <v>38</v>
      </c>
      <c r="B26">
        <v>105</v>
      </c>
      <c r="C26" s="20">
        <f t="shared" si="0"/>
        <v>1.0385756676557863E-2</v>
      </c>
    </row>
    <row r="27" spans="1:3" x14ac:dyDescent="0.35">
      <c r="A27" s="19" t="s">
        <v>39</v>
      </c>
      <c r="B27">
        <v>100</v>
      </c>
      <c r="C27" s="20">
        <f t="shared" si="0"/>
        <v>9.8911968348170121E-3</v>
      </c>
    </row>
    <row r="28" spans="1:3" x14ac:dyDescent="0.35">
      <c r="A28" s="19" t="s">
        <v>40</v>
      </c>
      <c r="B28">
        <v>85</v>
      </c>
      <c r="C28" s="20">
        <f t="shared" si="0"/>
        <v>8.4075173095944609E-3</v>
      </c>
    </row>
    <row r="29" spans="1:3" x14ac:dyDescent="0.35">
      <c r="A29" s="19" t="s">
        <v>41</v>
      </c>
      <c r="B29">
        <v>75</v>
      </c>
      <c r="C29" s="20">
        <f t="shared" si="0"/>
        <v>7.4183976261127599E-3</v>
      </c>
    </row>
    <row r="30" spans="1:3" x14ac:dyDescent="0.35">
      <c r="A30" s="19" t="s">
        <v>42</v>
      </c>
      <c r="B30">
        <v>75</v>
      </c>
      <c r="C30" s="20">
        <f t="shared" si="0"/>
        <v>7.4183976261127599E-3</v>
      </c>
    </row>
    <row r="31" spans="1:3" x14ac:dyDescent="0.35">
      <c r="A31" s="19" t="s">
        <v>43</v>
      </c>
      <c r="B31">
        <v>55</v>
      </c>
      <c r="C31" s="20">
        <f t="shared" si="0"/>
        <v>5.440158259149357E-3</v>
      </c>
    </row>
    <row r="32" spans="1:3" x14ac:dyDescent="0.35">
      <c r="A32" s="19" t="s">
        <v>44</v>
      </c>
      <c r="B32">
        <v>50</v>
      </c>
      <c r="C32" s="20">
        <f t="shared" si="0"/>
        <v>4.945598417408506E-3</v>
      </c>
    </row>
    <row r="33" spans="1:3" x14ac:dyDescent="0.35">
      <c r="A33" s="19" t="s">
        <v>45</v>
      </c>
      <c r="B33">
        <v>50</v>
      </c>
      <c r="C33" s="20">
        <f t="shared" si="0"/>
        <v>4.945598417408506E-3</v>
      </c>
    </row>
    <row r="34" spans="1:3" x14ac:dyDescent="0.35">
      <c r="A34" s="19" t="s">
        <v>46</v>
      </c>
      <c r="B34">
        <v>45</v>
      </c>
      <c r="C34" s="20">
        <f t="shared" si="0"/>
        <v>4.4510385756676559E-3</v>
      </c>
    </row>
    <row r="35" spans="1:3" x14ac:dyDescent="0.35">
      <c r="A35" s="19" t="s">
        <v>47</v>
      </c>
      <c r="B35">
        <v>40</v>
      </c>
      <c r="C35" s="20">
        <f t="shared" si="0"/>
        <v>3.956478733926805E-3</v>
      </c>
    </row>
    <row r="36" spans="1:3" x14ac:dyDescent="0.35">
      <c r="A36" s="19" t="s">
        <v>48</v>
      </c>
      <c r="B36">
        <v>35</v>
      </c>
      <c r="C36" s="20">
        <f t="shared" si="0"/>
        <v>3.4619188921859545E-3</v>
      </c>
    </row>
    <row r="37" spans="1:3" x14ac:dyDescent="0.35">
      <c r="A37" s="19" t="s">
        <v>49</v>
      </c>
      <c r="B37">
        <v>35</v>
      </c>
      <c r="C37" s="20">
        <f t="shared" si="0"/>
        <v>3.4619188921859545E-3</v>
      </c>
    </row>
    <row r="38" spans="1:3" x14ac:dyDescent="0.35">
      <c r="A38" s="19" t="s">
        <v>50</v>
      </c>
      <c r="B38">
        <v>35</v>
      </c>
      <c r="C38" s="20">
        <f t="shared" si="0"/>
        <v>3.4619188921859545E-3</v>
      </c>
    </row>
    <row r="39" spans="1:3" x14ac:dyDescent="0.35">
      <c r="A39" s="19" t="s">
        <v>51</v>
      </c>
      <c r="B39">
        <v>35</v>
      </c>
      <c r="C39" s="20">
        <f t="shared" si="0"/>
        <v>3.4619188921859545E-3</v>
      </c>
    </row>
    <row r="40" spans="1:3" x14ac:dyDescent="0.35">
      <c r="A40" s="19" t="s">
        <v>52</v>
      </c>
      <c r="B40">
        <v>30</v>
      </c>
      <c r="C40" s="20">
        <f t="shared" si="0"/>
        <v>2.967359050445104E-3</v>
      </c>
    </row>
    <row r="41" spans="1:3" x14ac:dyDescent="0.35">
      <c r="A41" s="19" t="s">
        <v>53</v>
      </c>
      <c r="B41">
        <v>30</v>
      </c>
      <c r="C41" s="20">
        <f t="shared" si="0"/>
        <v>2.967359050445104E-3</v>
      </c>
    </row>
    <row r="42" spans="1:3" x14ac:dyDescent="0.35">
      <c r="A42" s="19" t="s">
        <v>54</v>
      </c>
      <c r="B42">
        <v>30</v>
      </c>
      <c r="C42" s="20">
        <f t="shared" si="0"/>
        <v>2.967359050445104E-3</v>
      </c>
    </row>
    <row r="43" spans="1:3" x14ac:dyDescent="0.35">
      <c r="A43" s="19" t="s">
        <v>55</v>
      </c>
      <c r="B43">
        <v>30</v>
      </c>
      <c r="C43" s="20">
        <f t="shared" si="0"/>
        <v>2.967359050445104E-3</v>
      </c>
    </row>
    <row r="44" spans="1:3" x14ac:dyDescent="0.35">
      <c r="A44" s="19" t="s">
        <v>56</v>
      </c>
      <c r="B44">
        <v>30</v>
      </c>
      <c r="C44" s="20">
        <f t="shared" si="0"/>
        <v>2.967359050445104E-3</v>
      </c>
    </row>
    <row r="45" spans="1:3" x14ac:dyDescent="0.35">
      <c r="A45" s="19" t="s">
        <v>57</v>
      </c>
      <c r="B45">
        <v>25</v>
      </c>
      <c r="C45" s="20">
        <f t="shared" si="0"/>
        <v>2.472799208704253E-3</v>
      </c>
    </row>
    <row r="46" spans="1:3" x14ac:dyDescent="0.35">
      <c r="A46" s="19" t="s">
        <v>58</v>
      </c>
      <c r="B46">
        <v>25</v>
      </c>
      <c r="C46" s="20">
        <f t="shared" ref="C46:C67" si="1">B46/SUM($B$14:$B$66)</f>
        <v>2.472799208704253E-3</v>
      </c>
    </row>
    <row r="47" spans="1:3" x14ac:dyDescent="0.35">
      <c r="A47" s="19" t="s">
        <v>59</v>
      </c>
      <c r="B47">
        <v>25</v>
      </c>
      <c r="C47" s="20">
        <f t="shared" si="1"/>
        <v>2.472799208704253E-3</v>
      </c>
    </row>
    <row r="48" spans="1:3" x14ac:dyDescent="0.35">
      <c r="A48" s="19" t="s">
        <v>60</v>
      </c>
      <c r="B48">
        <v>20</v>
      </c>
      <c r="C48" s="20">
        <f t="shared" si="1"/>
        <v>1.9782393669634025E-3</v>
      </c>
    </row>
    <row r="49" spans="1:3" x14ac:dyDescent="0.35">
      <c r="A49" s="19" t="s">
        <v>61</v>
      </c>
      <c r="B49">
        <v>20</v>
      </c>
      <c r="C49" s="20">
        <f t="shared" si="1"/>
        <v>1.9782393669634025E-3</v>
      </c>
    </row>
    <row r="50" spans="1:3" x14ac:dyDescent="0.35">
      <c r="A50" s="19" t="s">
        <v>62</v>
      </c>
      <c r="B50">
        <v>20</v>
      </c>
      <c r="C50" s="20">
        <f t="shared" si="1"/>
        <v>1.9782393669634025E-3</v>
      </c>
    </row>
    <row r="51" spans="1:3" x14ac:dyDescent="0.35">
      <c r="A51" s="19" t="s">
        <v>63</v>
      </c>
      <c r="B51">
        <v>20</v>
      </c>
      <c r="C51" s="20">
        <f t="shared" si="1"/>
        <v>1.9782393669634025E-3</v>
      </c>
    </row>
    <row r="52" spans="1:3" x14ac:dyDescent="0.35">
      <c r="A52" s="19" t="s">
        <v>64</v>
      </c>
      <c r="B52">
        <v>15</v>
      </c>
      <c r="C52" s="20">
        <f t="shared" si="1"/>
        <v>1.483679525222552E-3</v>
      </c>
    </row>
    <row r="53" spans="1:3" x14ac:dyDescent="0.35">
      <c r="A53" s="19" t="s">
        <v>65</v>
      </c>
      <c r="B53">
        <v>15</v>
      </c>
      <c r="C53" s="20">
        <f t="shared" si="1"/>
        <v>1.483679525222552E-3</v>
      </c>
    </row>
    <row r="54" spans="1:3" x14ac:dyDescent="0.35">
      <c r="A54" s="19" t="s">
        <v>66</v>
      </c>
      <c r="B54">
        <v>10</v>
      </c>
      <c r="C54" s="20">
        <f t="shared" si="1"/>
        <v>9.8911968348170125E-4</v>
      </c>
    </row>
    <row r="55" spans="1:3" x14ac:dyDescent="0.35">
      <c r="A55" s="19" t="s">
        <v>67</v>
      </c>
      <c r="C55" s="20">
        <f t="shared" si="1"/>
        <v>0</v>
      </c>
    </row>
    <row r="56" spans="1:3" x14ac:dyDescent="0.35">
      <c r="A56" s="19" t="s">
        <v>68</v>
      </c>
      <c r="B56">
        <v>5055</v>
      </c>
      <c r="C56" s="20">
        <f t="shared" si="1"/>
        <v>0.5</v>
      </c>
    </row>
    <row r="57" spans="1:3" x14ac:dyDescent="0.35">
      <c r="C57" s="20">
        <f t="shared" si="1"/>
        <v>0</v>
      </c>
    </row>
    <row r="58" spans="1:3" x14ac:dyDescent="0.35">
      <c r="C58" s="20">
        <f t="shared" si="1"/>
        <v>0</v>
      </c>
    </row>
    <row r="59" spans="1:3" x14ac:dyDescent="0.35">
      <c r="C59" s="20">
        <f t="shared" si="1"/>
        <v>0</v>
      </c>
    </row>
    <row r="60" spans="1:3" x14ac:dyDescent="0.35">
      <c r="C60" s="20">
        <f t="shared" si="1"/>
        <v>0</v>
      </c>
    </row>
    <row r="61" spans="1:3" x14ac:dyDescent="0.35">
      <c r="C61" s="20">
        <f t="shared" si="1"/>
        <v>0</v>
      </c>
    </row>
    <row r="62" spans="1:3" x14ac:dyDescent="0.35">
      <c r="C62" s="20">
        <f t="shared" si="1"/>
        <v>0</v>
      </c>
    </row>
    <row r="63" spans="1:3" x14ac:dyDescent="0.35">
      <c r="C63" s="20">
        <f t="shared" si="1"/>
        <v>0</v>
      </c>
    </row>
    <row r="64" spans="1:3" x14ac:dyDescent="0.35">
      <c r="C64" s="20">
        <f t="shared" si="1"/>
        <v>0</v>
      </c>
    </row>
    <row r="65" spans="3:3" x14ac:dyDescent="0.35">
      <c r="C65" s="20">
        <f t="shared" si="1"/>
        <v>0</v>
      </c>
    </row>
    <row r="66" spans="3:3" x14ac:dyDescent="0.35">
      <c r="C66" s="20">
        <f t="shared" si="1"/>
        <v>0</v>
      </c>
    </row>
    <row r="67" spans="3:3" x14ac:dyDescent="0.35">
      <c r="C67" s="20">
        <f t="shared" si="1"/>
        <v>0</v>
      </c>
    </row>
  </sheetData>
  <mergeCells count="4">
    <mergeCell ref="A1:B2"/>
    <mergeCell ref="C1:K1"/>
    <mergeCell ref="C2:K2"/>
    <mergeCell ref="A4:M4"/>
  </mergeCells>
  <pageMargins left="0.7" right="0.7" top="0.75" bottom="0.75" header="0.3" footer="0.3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D6C62-83BF-4409-A50C-49C4BC040A71}">
  <dimension ref="B1:L14"/>
  <sheetViews>
    <sheetView showGridLines="0" topLeftCell="A4" workbookViewId="0">
      <selection activeCell="G7" sqref="G7"/>
    </sheetView>
  </sheetViews>
  <sheetFormatPr defaultColWidth="9.1796875" defaultRowHeight="14.5" x14ac:dyDescent="0.35"/>
  <cols>
    <col min="1" max="1" width="1.54296875" customWidth="1"/>
    <col min="2" max="2" width="12.54296875" customWidth="1"/>
    <col min="3" max="3" width="16.1796875" customWidth="1"/>
    <col min="4" max="4" width="27.1796875" customWidth="1"/>
    <col min="5" max="5" width="13.7265625" customWidth="1"/>
    <col min="6" max="6" width="21.1796875" customWidth="1"/>
    <col min="7" max="7" width="31" customWidth="1"/>
    <col min="8" max="8" width="15.26953125" customWidth="1"/>
    <col min="9" max="9" width="13.81640625" customWidth="1"/>
    <col min="10" max="11" width="13" customWidth="1"/>
    <col min="12" max="12" width="11.26953125" customWidth="1"/>
  </cols>
  <sheetData>
    <row r="1" spans="2:12" ht="21.5" thickBot="1" x14ac:dyDescent="0.4">
      <c r="B1" s="52" t="s">
        <v>0</v>
      </c>
      <c r="C1" s="54"/>
      <c r="D1" s="43" t="s">
        <v>1</v>
      </c>
      <c r="E1" s="44"/>
      <c r="F1" s="44"/>
      <c r="G1" s="44"/>
      <c r="H1" s="44"/>
      <c r="I1" s="44"/>
      <c r="J1" s="45"/>
      <c r="K1" s="1" t="s">
        <v>2</v>
      </c>
      <c r="L1" s="2">
        <v>0</v>
      </c>
    </row>
    <row r="2" spans="2:12" ht="24" thickBot="1" x14ac:dyDescent="0.4">
      <c r="B2" s="55"/>
      <c r="C2" s="57"/>
      <c r="D2" s="46" t="s">
        <v>20</v>
      </c>
      <c r="E2" s="47"/>
      <c r="F2" s="47"/>
      <c r="G2" s="47"/>
      <c r="H2" s="47"/>
      <c r="I2" s="47"/>
      <c r="J2" s="48"/>
      <c r="K2" s="1" t="s">
        <v>4</v>
      </c>
      <c r="L2" s="3">
        <v>45424</v>
      </c>
    </row>
    <row r="3" spans="2:12" ht="7.5" customHeight="1" x14ac:dyDescent="0.35"/>
    <row r="4" spans="2:12" ht="22.5" customHeight="1" x14ac:dyDescent="0.35">
      <c r="B4" s="49" t="s">
        <v>69</v>
      </c>
      <c r="C4" s="50"/>
      <c r="D4" s="50"/>
      <c r="E4" s="50"/>
      <c r="F4" s="50"/>
      <c r="G4" s="50"/>
      <c r="H4" s="50"/>
      <c r="I4" s="50"/>
      <c r="J4" s="50"/>
      <c r="K4" s="50"/>
      <c r="L4" s="51"/>
    </row>
    <row r="5" spans="2:12" ht="15" thickBot="1" x14ac:dyDescent="0.4">
      <c r="B5" t="s">
        <v>70</v>
      </c>
    </row>
    <row r="6" spans="2:12" s="5" customFormat="1" ht="29.5" thickBot="1" x14ac:dyDescent="0.4">
      <c r="B6" s="6" t="s">
        <v>71</v>
      </c>
      <c r="C6" s="7" t="s">
        <v>72</v>
      </c>
      <c r="D6" s="7" t="s">
        <v>73</v>
      </c>
      <c r="E6" s="67" t="s">
        <v>74</v>
      </c>
      <c r="F6" s="67"/>
      <c r="G6" s="7" t="s">
        <v>75</v>
      </c>
      <c r="H6" s="7" t="s">
        <v>76</v>
      </c>
      <c r="I6" s="8" t="s">
        <v>77</v>
      </c>
      <c r="J6" s="8" t="s">
        <v>78</v>
      </c>
      <c r="K6" s="8" t="s">
        <v>79</v>
      </c>
      <c r="L6" s="9" t="s">
        <v>80</v>
      </c>
    </row>
    <row r="7" spans="2:12" s="4" customFormat="1" ht="29" x14ac:dyDescent="0.35">
      <c r="B7" s="64"/>
      <c r="C7" s="60"/>
      <c r="D7" s="65"/>
      <c r="E7" s="10" t="s">
        <v>81</v>
      </c>
      <c r="F7" s="11"/>
      <c r="G7" s="11"/>
      <c r="H7" s="12"/>
      <c r="I7" s="12"/>
      <c r="J7" s="12"/>
      <c r="K7" s="12"/>
      <c r="L7" s="13"/>
    </row>
    <row r="8" spans="2:12" s="4" customFormat="1" ht="29.5" thickBot="1" x14ac:dyDescent="0.4">
      <c r="B8" s="59"/>
      <c r="C8" s="61"/>
      <c r="D8" s="66"/>
      <c r="E8" s="14" t="s">
        <v>82</v>
      </c>
      <c r="F8" s="15"/>
      <c r="G8" s="15"/>
      <c r="H8" s="16"/>
      <c r="I8" s="16"/>
      <c r="J8" s="16"/>
      <c r="K8" s="16"/>
      <c r="L8" s="17"/>
    </row>
    <row r="9" spans="2:12" s="4" customFormat="1" ht="29" x14ac:dyDescent="0.35">
      <c r="B9" s="58"/>
      <c r="C9" s="60"/>
      <c r="D9" s="62"/>
      <c r="E9" s="10" t="s">
        <v>81</v>
      </c>
      <c r="F9" s="11"/>
      <c r="G9" s="11"/>
      <c r="H9" s="12"/>
      <c r="I9" s="12"/>
      <c r="J9" s="12"/>
      <c r="K9" s="12"/>
      <c r="L9" s="13"/>
    </row>
    <row r="10" spans="2:12" s="4" customFormat="1" ht="29.5" thickBot="1" x14ac:dyDescent="0.4">
      <c r="B10" s="59"/>
      <c r="C10" s="61"/>
      <c r="D10" s="63"/>
      <c r="E10" s="14" t="s">
        <v>82</v>
      </c>
      <c r="F10" s="15"/>
      <c r="G10" s="15"/>
      <c r="H10" s="16"/>
      <c r="I10" s="16"/>
      <c r="J10" s="16"/>
      <c r="K10" s="16"/>
      <c r="L10" s="17"/>
    </row>
    <row r="11" spans="2:12" s="4" customFormat="1" ht="29" x14ac:dyDescent="0.35">
      <c r="B11" s="58"/>
      <c r="C11" s="60"/>
      <c r="D11" s="62"/>
      <c r="E11" s="10" t="s">
        <v>81</v>
      </c>
      <c r="F11" s="11"/>
      <c r="G11" s="11"/>
      <c r="H11" s="12"/>
      <c r="I11" s="12"/>
      <c r="J11" s="12"/>
      <c r="K11" s="12"/>
      <c r="L11" s="13"/>
    </row>
    <row r="12" spans="2:12" s="4" customFormat="1" ht="29.5" thickBot="1" x14ac:dyDescent="0.4">
      <c r="B12" s="59"/>
      <c r="C12" s="61"/>
      <c r="D12" s="63"/>
      <c r="E12" s="14" t="s">
        <v>82</v>
      </c>
      <c r="F12" s="15"/>
      <c r="G12" s="15"/>
      <c r="H12" s="16"/>
      <c r="I12" s="16"/>
      <c r="J12" s="16"/>
      <c r="K12" s="16"/>
      <c r="L12" s="17"/>
    </row>
    <row r="13" spans="2:12" s="4" customFormat="1" ht="29" x14ac:dyDescent="0.35">
      <c r="B13" s="58"/>
      <c r="C13" s="60"/>
      <c r="D13" s="62"/>
      <c r="E13" s="10" t="s">
        <v>81</v>
      </c>
      <c r="F13" s="11"/>
      <c r="G13" s="11"/>
      <c r="H13" s="12"/>
      <c r="I13" s="12"/>
      <c r="J13" s="12"/>
      <c r="K13" s="12"/>
      <c r="L13" s="13"/>
    </row>
    <row r="14" spans="2:12" s="4" customFormat="1" ht="29.5" thickBot="1" x14ac:dyDescent="0.4">
      <c r="B14" s="59"/>
      <c r="C14" s="61"/>
      <c r="D14" s="63"/>
      <c r="E14" s="14" t="s">
        <v>82</v>
      </c>
      <c r="F14" s="15"/>
      <c r="G14" s="15"/>
      <c r="H14" s="16"/>
      <c r="I14" s="16"/>
      <c r="J14" s="16"/>
      <c r="K14" s="16"/>
      <c r="L14" s="17"/>
    </row>
  </sheetData>
  <mergeCells count="17">
    <mergeCell ref="D11:D12"/>
    <mergeCell ref="C11:C12"/>
    <mergeCell ref="B11:B12"/>
    <mergeCell ref="B13:B14"/>
    <mergeCell ref="C13:C14"/>
    <mergeCell ref="D13:D14"/>
    <mergeCell ref="B9:B10"/>
    <mergeCell ref="C9:C10"/>
    <mergeCell ref="D9:D10"/>
    <mergeCell ref="D1:J1"/>
    <mergeCell ref="D2:J2"/>
    <mergeCell ref="B7:B8"/>
    <mergeCell ref="C7:C8"/>
    <mergeCell ref="D7:D8"/>
    <mergeCell ref="B1:C2"/>
    <mergeCell ref="B4:L4"/>
    <mergeCell ref="E6:F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434CB-AC7F-4EC3-AAB2-B26FAA618B8C}">
  <dimension ref="A1:U80"/>
  <sheetViews>
    <sheetView showGridLines="0" topLeftCell="A2" zoomScale="70" zoomScaleNormal="70" workbookViewId="0">
      <selection activeCell="C16" sqref="C16"/>
    </sheetView>
  </sheetViews>
  <sheetFormatPr defaultColWidth="9.1796875" defaultRowHeight="14.5" x14ac:dyDescent="0.35"/>
  <cols>
    <col min="1" max="1" width="28.7265625" customWidth="1"/>
    <col min="2" max="2" width="17" customWidth="1"/>
    <col min="3" max="3" width="20.453125" style="4" customWidth="1"/>
    <col min="4" max="4" width="40.81640625" style="39" bestFit="1" customWidth="1"/>
    <col min="5" max="5" width="15.26953125" customWidth="1"/>
    <col min="6" max="6" width="39.453125" customWidth="1"/>
    <col min="7" max="7" width="10.54296875" customWidth="1"/>
    <col min="8" max="8" width="34.81640625" bestFit="1" customWidth="1"/>
    <col min="9" max="9" width="30.26953125" customWidth="1"/>
    <col min="10" max="10" width="20" customWidth="1"/>
    <col min="11" max="11" width="36" bestFit="1" customWidth="1"/>
    <col min="12" max="12" width="33.54296875" bestFit="1" customWidth="1"/>
    <col min="13" max="13" width="29.1796875" customWidth="1"/>
    <col min="14" max="14" width="23.7265625" customWidth="1"/>
    <col min="15" max="15" width="20.54296875" customWidth="1"/>
    <col min="16" max="16" width="22.453125" customWidth="1"/>
    <col min="17" max="17" width="19.1796875" customWidth="1"/>
    <col min="18" max="18" width="29.1796875" customWidth="1"/>
    <col min="19" max="19" width="23.1796875" customWidth="1"/>
    <col min="20" max="20" width="17.81640625" customWidth="1"/>
    <col min="21" max="21" width="14.54296875" customWidth="1"/>
  </cols>
  <sheetData>
    <row r="1" spans="1:21" ht="21.5" thickBot="1" x14ac:dyDescent="0.4">
      <c r="A1" s="52" t="s">
        <v>0</v>
      </c>
      <c r="B1" s="54"/>
      <c r="C1" s="43" t="s">
        <v>1</v>
      </c>
      <c r="D1" s="44"/>
      <c r="E1" s="44"/>
      <c r="F1" s="44"/>
      <c r="G1" s="44"/>
      <c r="H1" s="44"/>
      <c r="I1" s="44"/>
      <c r="J1" s="44"/>
      <c r="K1" s="44"/>
      <c r="L1" s="45"/>
      <c r="M1" s="1" t="s">
        <v>2</v>
      </c>
      <c r="N1" s="2">
        <v>0</v>
      </c>
    </row>
    <row r="2" spans="1:21" ht="24" thickBot="1" x14ac:dyDescent="0.4">
      <c r="A2" s="55"/>
      <c r="B2" s="57"/>
      <c r="C2" s="46" t="s">
        <v>20</v>
      </c>
      <c r="D2" s="47"/>
      <c r="E2" s="47"/>
      <c r="F2" s="47"/>
      <c r="G2" s="47"/>
      <c r="H2" s="47"/>
      <c r="I2" s="47"/>
      <c r="J2" s="47"/>
      <c r="K2" s="47"/>
      <c r="L2" s="48"/>
      <c r="M2" s="1" t="s">
        <v>4</v>
      </c>
      <c r="N2" s="3">
        <v>45424</v>
      </c>
    </row>
    <row r="3" spans="1:21" ht="7.5" customHeight="1" x14ac:dyDescent="0.35"/>
    <row r="4" spans="1:21" ht="22.5" customHeight="1" x14ac:dyDescent="0.35">
      <c r="A4" s="49" t="s">
        <v>21</v>
      </c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1"/>
    </row>
    <row r="5" spans="1:21" x14ac:dyDescent="0.35">
      <c r="C5"/>
      <c r="D5"/>
    </row>
    <row r="6" spans="1:21" x14ac:dyDescent="0.35">
      <c r="C6"/>
      <c r="D6"/>
    </row>
    <row r="7" spans="1:21" ht="21.5" thickBot="1" x14ac:dyDescent="0.55000000000000004">
      <c r="C7"/>
      <c r="D7"/>
      <c r="I7" s="26"/>
    </row>
    <row r="8" spans="1:21" ht="21" x14ac:dyDescent="0.35">
      <c r="A8" s="27" t="s">
        <v>14</v>
      </c>
      <c r="B8" s="29" t="s">
        <v>83</v>
      </c>
      <c r="C8" s="22" t="s">
        <v>84</v>
      </c>
      <c r="D8" s="27" t="s">
        <v>85</v>
      </c>
      <c r="E8" s="27" t="s">
        <v>9</v>
      </c>
      <c r="F8" s="21" t="s">
        <v>86</v>
      </c>
      <c r="H8" s="40" t="s">
        <v>87</v>
      </c>
      <c r="I8" s="40" t="s">
        <v>88</v>
      </c>
      <c r="J8" s="40" t="s">
        <v>89</v>
      </c>
      <c r="K8" s="40" t="s">
        <v>90</v>
      </c>
      <c r="L8" s="40" t="s">
        <v>91</v>
      </c>
      <c r="M8" s="40" t="s">
        <v>92</v>
      </c>
      <c r="N8" s="40" t="s">
        <v>93</v>
      </c>
      <c r="O8" s="40" t="s">
        <v>94</v>
      </c>
      <c r="P8" s="40" t="s">
        <v>95</v>
      </c>
      <c r="Q8" s="40" t="s">
        <v>96</v>
      </c>
      <c r="R8" s="40" t="s">
        <v>97</v>
      </c>
      <c r="S8" s="40" t="s">
        <v>98</v>
      </c>
      <c r="T8" s="40" t="s">
        <v>99</v>
      </c>
      <c r="U8" s="40" t="s">
        <v>100</v>
      </c>
    </row>
    <row r="9" spans="1:21" ht="21" x14ac:dyDescent="0.5">
      <c r="A9" s="28" t="s">
        <v>101</v>
      </c>
      <c r="B9" s="30" t="s">
        <v>102</v>
      </c>
      <c r="C9" s="24" t="s">
        <v>103</v>
      </c>
      <c r="D9" s="32" t="s">
        <v>104</v>
      </c>
      <c r="E9" s="28" t="s">
        <v>105</v>
      </c>
      <c r="F9" s="23" t="s">
        <v>87</v>
      </c>
      <c r="H9" s="23" t="s">
        <v>106</v>
      </c>
      <c r="I9" s="23" t="s">
        <v>107</v>
      </c>
      <c r="J9" s="23" t="s">
        <v>108</v>
      </c>
      <c r="K9" s="23" t="s">
        <v>109</v>
      </c>
      <c r="L9" s="23" t="s">
        <v>110</v>
      </c>
      <c r="M9" s="23" t="s">
        <v>111</v>
      </c>
      <c r="N9" s="23" t="s">
        <v>112</v>
      </c>
      <c r="O9" s="23" t="s">
        <v>113</v>
      </c>
      <c r="P9" s="23" t="s">
        <v>114</v>
      </c>
      <c r="Q9" s="23" t="s">
        <v>115</v>
      </c>
      <c r="R9" s="23" t="s">
        <v>116</v>
      </c>
      <c r="S9" s="23" t="s">
        <v>117</v>
      </c>
      <c r="T9" s="23" t="s">
        <v>118</v>
      </c>
      <c r="U9" s="23" t="s">
        <v>119</v>
      </c>
    </row>
    <row r="10" spans="1:21" ht="21" x14ac:dyDescent="0.5">
      <c r="A10" s="28" t="s">
        <v>120</v>
      </c>
      <c r="B10" s="31" t="s">
        <v>121</v>
      </c>
      <c r="C10" s="25" t="s">
        <v>122</v>
      </c>
      <c r="D10" s="28" t="s">
        <v>123</v>
      </c>
      <c r="E10" s="28" t="s">
        <v>124</v>
      </c>
      <c r="F10" s="23" t="s">
        <v>88</v>
      </c>
      <c r="H10" s="23" t="s">
        <v>125</v>
      </c>
      <c r="I10" s="23" t="s">
        <v>126</v>
      </c>
      <c r="J10" s="23"/>
      <c r="K10" s="23" t="s">
        <v>127</v>
      </c>
      <c r="L10" s="23" t="s">
        <v>128</v>
      </c>
      <c r="M10" s="23" t="s">
        <v>129</v>
      </c>
      <c r="N10" s="23" t="s">
        <v>130</v>
      </c>
      <c r="O10" s="23" t="s">
        <v>131</v>
      </c>
      <c r="P10" s="23" t="s">
        <v>132</v>
      </c>
      <c r="Q10" s="23" t="s">
        <v>133</v>
      </c>
      <c r="R10" s="23" t="s">
        <v>134</v>
      </c>
      <c r="S10" s="23" t="s">
        <v>135</v>
      </c>
      <c r="T10" s="23" t="s">
        <v>136</v>
      </c>
      <c r="U10" s="23" t="s">
        <v>137</v>
      </c>
    </row>
    <row r="11" spans="1:21" ht="21" x14ac:dyDescent="0.5">
      <c r="A11" s="28" t="s">
        <v>308</v>
      </c>
      <c r="B11" s="23"/>
      <c r="C11" s="28"/>
      <c r="D11" s="28" t="s">
        <v>138</v>
      </c>
      <c r="E11" s="28" t="s">
        <v>139</v>
      </c>
      <c r="F11" s="23" t="s">
        <v>89</v>
      </c>
      <c r="H11" s="23" t="s">
        <v>140</v>
      </c>
      <c r="I11" s="23" t="s">
        <v>141</v>
      </c>
      <c r="J11" s="23"/>
      <c r="K11" s="23" t="s">
        <v>142</v>
      </c>
      <c r="L11" s="23"/>
      <c r="M11" s="23" t="s">
        <v>143</v>
      </c>
      <c r="N11" s="23" t="s">
        <v>144</v>
      </c>
      <c r="O11" s="23" t="s">
        <v>145</v>
      </c>
      <c r="P11" s="23"/>
      <c r="Q11" s="23"/>
      <c r="R11" s="23"/>
      <c r="S11" s="23" t="s">
        <v>146</v>
      </c>
      <c r="T11" s="23" t="s">
        <v>147</v>
      </c>
      <c r="U11" s="23" t="s">
        <v>148</v>
      </c>
    </row>
    <row r="12" spans="1:21" ht="21" x14ac:dyDescent="0.5">
      <c r="A12" s="28" t="s">
        <v>309</v>
      </c>
      <c r="B12" s="23"/>
      <c r="C12" s="28"/>
      <c r="D12" s="28" t="s">
        <v>149</v>
      </c>
      <c r="E12" s="28"/>
      <c r="F12" s="23" t="s">
        <v>90</v>
      </c>
      <c r="H12" s="23" t="s">
        <v>150</v>
      </c>
      <c r="I12" s="23" t="s">
        <v>151</v>
      </c>
      <c r="J12" s="23"/>
      <c r="K12" s="23" t="s">
        <v>152</v>
      </c>
      <c r="L12" s="23"/>
      <c r="M12" s="23" t="s">
        <v>153</v>
      </c>
      <c r="N12" s="23" t="s">
        <v>154</v>
      </c>
      <c r="O12" s="23" t="s">
        <v>155</v>
      </c>
      <c r="P12" s="23"/>
      <c r="Q12" s="23"/>
      <c r="R12" s="23"/>
      <c r="S12" s="23" t="s">
        <v>156</v>
      </c>
      <c r="T12" s="23" t="s">
        <v>157</v>
      </c>
      <c r="U12" s="23" t="s">
        <v>158</v>
      </c>
    </row>
    <row r="13" spans="1:21" ht="21" x14ac:dyDescent="0.5">
      <c r="A13" s="28"/>
      <c r="B13" s="23"/>
      <c r="C13" s="28"/>
      <c r="D13" s="28" t="s">
        <v>159</v>
      </c>
      <c r="E13" s="28"/>
      <c r="F13" s="23" t="s">
        <v>91</v>
      </c>
      <c r="H13" s="23" t="s">
        <v>160</v>
      </c>
      <c r="I13" s="23" t="s">
        <v>161</v>
      </c>
      <c r="J13" s="23"/>
      <c r="K13" s="23" t="s">
        <v>162</v>
      </c>
      <c r="L13" s="23"/>
      <c r="M13" s="23" t="s">
        <v>163</v>
      </c>
      <c r="N13" s="23" t="s">
        <v>164</v>
      </c>
      <c r="O13" s="23" t="s">
        <v>165</v>
      </c>
      <c r="P13" s="23"/>
      <c r="Q13" s="23"/>
      <c r="R13" s="23"/>
      <c r="S13" s="23" t="s">
        <v>166</v>
      </c>
      <c r="T13" s="23" t="s">
        <v>167</v>
      </c>
      <c r="U13" s="23" t="s">
        <v>168</v>
      </c>
    </row>
    <row r="14" spans="1:21" ht="21" x14ac:dyDescent="0.5">
      <c r="A14" s="28"/>
      <c r="B14" s="23"/>
      <c r="C14" s="28"/>
      <c r="D14" s="28" t="s">
        <v>169</v>
      </c>
      <c r="E14" s="28"/>
      <c r="F14" s="23" t="s">
        <v>92</v>
      </c>
      <c r="H14" s="23" t="s">
        <v>170</v>
      </c>
      <c r="I14" s="23" t="s">
        <v>171</v>
      </c>
      <c r="J14" s="23"/>
      <c r="K14" s="23" t="s">
        <v>172</v>
      </c>
      <c r="L14" s="23"/>
      <c r="M14" s="23" t="s">
        <v>173</v>
      </c>
      <c r="N14" s="23"/>
      <c r="O14" s="23"/>
      <c r="P14" s="23"/>
      <c r="Q14" s="23"/>
      <c r="R14" s="23"/>
      <c r="S14" s="23" t="s">
        <v>174</v>
      </c>
      <c r="T14" s="23" t="s">
        <v>175</v>
      </c>
      <c r="U14" s="23" t="s">
        <v>176</v>
      </c>
    </row>
    <row r="15" spans="1:21" ht="21" x14ac:dyDescent="0.5">
      <c r="A15" s="28"/>
      <c r="B15" s="23"/>
      <c r="C15" s="28"/>
      <c r="D15" s="28" t="s">
        <v>177</v>
      </c>
      <c r="E15" s="28"/>
      <c r="F15" s="23" t="s">
        <v>93</v>
      </c>
      <c r="H15" s="23" t="s">
        <v>178</v>
      </c>
      <c r="I15" s="23" t="s">
        <v>179</v>
      </c>
      <c r="J15" s="23"/>
      <c r="K15" s="23" t="s">
        <v>180</v>
      </c>
      <c r="L15" s="23"/>
      <c r="M15" s="23" t="s">
        <v>181</v>
      </c>
      <c r="N15" s="23"/>
      <c r="O15" s="23"/>
      <c r="P15" s="23"/>
      <c r="Q15" s="23"/>
      <c r="R15" s="23"/>
      <c r="S15" s="23" t="s">
        <v>182</v>
      </c>
      <c r="T15" s="23" t="s">
        <v>183</v>
      </c>
      <c r="U15" s="23"/>
    </row>
    <row r="16" spans="1:21" ht="21" x14ac:dyDescent="0.5">
      <c r="A16" s="28"/>
      <c r="B16" s="23"/>
      <c r="C16" s="28"/>
      <c r="D16" s="28" t="s">
        <v>184</v>
      </c>
      <c r="E16" s="28"/>
      <c r="F16" s="23" t="s">
        <v>94</v>
      </c>
      <c r="G16" s="23"/>
      <c r="H16" s="23" t="s">
        <v>185</v>
      </c>
      <c r="I16" s="23" t="s">
        <v>186</v>
      </c>
      <c r="J16" s="23"/>
      <c r="K16" s="23" t="s">
        <v>187</v>
      </c>
      <c r="L16" s="23"/>
      <c r="M16" s="23"/>
      <c r="N16" s="23"/>
      <c r="O16" s="23"/>
      <c r="P16" s="23"/>
      <c r="Q16" s="23"/>
      <c r="R16" s="23"/>
      <c r="S16" s="23"/>
      <c r="T16" s="23"/>
      <c r="U16" s="23"/>
    </row>
    <row r="17" spans="1:11" ht="21" x14ac:dyDescent="0.5">
      <c r="A17" s="28"/>
      <c r="B17" s="23"/>
      <c r="C17" s="28"/>
      <c r="D17" s="28" t="s">
        <v>188</v>
      </c>
      <c r="E17" s="28"/>
      <c r="F17" s="23" t="s">
        <v>95</v>
      </c>
      <c r="G17" s="23"/>
      <c r="H17" t="s">
        <v>189</v>
      </c>
    </row>
    <row r="18" spans="1:11" ht="21" x14ac:dyDescent="0.5">
      <c r="A18" s="28"/>
      <c r="B18" s="23"/>
      <c r="C18" s="28"/>
      <c r="D18" s="28" t="s">
        <v>190</v>
      </c>
      <c r="E18" s="28"/>
      <c r="F18" s="23" t="s">
        <v>96</v>
      </c>
      <c r="G18" s="23"/>
      <c r="H18" t="s">
        <v>191</v>
      </c>
    </row>
    <row r="19" spans="1:11" ht="21" x14ac:dyDescent="0.5">
      <c r="A19" s="28"/>
      <c r="B19" s="23"/>
      <c r="C19" s="28"/>
      <c r="D19" s="28"/>
      <c r="E19" s="28"/>
      <c r="F19" s="23" t="s">
        <v>97</v>
      </c>
      <c r="G19" s="23"/>
      <c r="H19" t="s">
        <v>192</v>
      </c>
    </row>
    <row r="20" spans="1:11" ht="21" x14ac:dyDescent="0.5">
      <c r="A20" s="28"/>
      <c r="B20" s="23"/>
      <c r="C20" s="28"/>
      <c r="D20" s="28"/>
      <c r="E20" s="28"/>
      <c r="F20" s="23" t="s">
        <v>98</v>
      </c>
      <c r="G20" s="23"/>
      <c r="H20" t="s">
        <v>193</v>
      </c>
      <c r="K20" s="23"/>
    </row>
    <row r="21" spans="1:11" ht="21" x14ac:dyDescent="0.5">
      <c r="A21" s="28"/>
      <c r="B21" s="23"/>
      <c r="C21" s="28"/>
      <c r="D21" s="28"/>
      <c r="E21" s="28"/>
      <c r="F21" s="23" t="s">
        <v>99</v>
      </c>
      <c r="G21" s="23"/>
      <c r="H21" t="s">
        <v>194</v>
      </c>
      <c r="K21" s="23"/>
    </row>
    <row r="22" spans="1:11" ht="21" x14ac:dyDescent="0.5">
      <c r="A22" s="28"/>
      <c r="B22" s="23"/>
      <c r="C22" s="28"/>
      <c r="D22" s="28"/>
      <c r="E22" s="28"/>
      <c r="F22" s="23" t="s">
        <v>100</v>
      </c>
      <c r="G22" s="23"/>
      <c r="H22" t="s">
        <v>195</v>
      </c>
      <c r="K22" s="23"/>
    </row>
    <row r="23" spans="1:11" ht="21" x14ac:dyDescent="0.5">
      <c r="A23" s="28"/>
      <c r="B23" s="23"/>
      <c r="C23" s="28"/>
      <c r="D23" s="28"/>
      <c r="E23" s="28"/>
      <c r="F23" s="23"/>
      <c r="G23" s="23"/>
      <c r="H23" t="s">
        <v>196</v>
      </c>
      <c r="K23" s="23"/>
    </row>
    <row r="24" spans="1:11" ht="21" x14ac:dyDescent="0.5">
      <c r="C24"/>
      <c r="D24"/>
      <c r="H24" t="s">
        <v>197</v>
      </c>
      <c r="K24" s="23"/>
    </row>
    <row r="25" spans="1:11" ht="21" x14ac:dyDescent="0.5">
      <c r="C25"/>
      <c r="D25"/>
      <c r="H25" t="s">
        <v>198</v>
      </c>
      <c r="K25" s="23"/>
    </row>
    <row r="26" spans="1:11" ht="21" x14ac:dyDescent="0.5">
      <c r="C26"/>
      <c r="D26"/>
      <c r="H26" t="s">
        <v>199</v>
      </c>
      <c r="K26" s="23"/>
    </row>
    <row r="27" spans="1:11" ht="21" x14ac:dyDescent="0.5">
      <c r="C27"/>
      <c r="D27"/>
      <c r="H27" t="s">
        <v>200</v>
      </c>
      <c r="K27" s="23"/>
    </row>
    <row r="28" spans="1:11" x14ac:dyDescent="0.35">
      <c r="C28"/>
      <c r="D28"/>
      <c r="H28" t="s">
        <v>201</v>
      </c>
    </row>
    <row r="29" spans="1:11" x14ac:dyDescent="0.35">
      <c r="C29"/>
      <c r="D29"/>
      <c r="H29" t="s">
        <v>202</v>
      </c>
    </row>
    <row r="30" spans="1:11" x14ac:dyDescent="0.35">
      <c r="C30"/>
      <c r="D30"/>
      <c r="H30" t="s">
        <v>203</v>
      </c>
    </row>
    <row r="31" spans="1:11" x14ac:dyDescent="0.35">
      <c r="C31"/>
      <c r="D31"/>
      <c r="H31" t="s">
        <v>204</v>
      </c>
    </row>
    <row r="32" spans="1:11" x14ac:dyDescent="0.35">
      <c r="C32"/>
      <c r="D32"/>
      <c r="H32" t="s">
        <v>205</v>
      </c>
    </row>
    <row r="33" spans="3:8" x14ac:dyDescent="0.35">
      <c r="C33"/>
      <c r="D33"/>
      <c r="H33" t="s">
        <v>206</v>
      </c>
    </row>
    <row r="34" spans="3:8" x14ac:dyDescent="0.35">
      <c r="C34"/>
      <c r="D34"/>
      <c r="H34" t="s">
        <v>207</v>
      </c>
    </row>
    <row r="35" spans="3:8" x14ac:dyDescent="0.35">
      <c r="C35"/>
      <c r="D35"/>
      <c r="H35" t="s">
        <v>208</v>
      </c>
    </row>
    <row r="36" spans="3:8" x14ac:dyDescent="0.35">
      <c r="C36"/>
      <c r="D36"/>
    </row>
    <row r="37" spans="3:8" x14ac:dyDescent="0.35">
      <c r="C37"/>
      <c r="D37"/>
    </row>
    <row r="38" spans="3:8" x14ac:dyDescent="0.35">
      <c r="C38"/>
      <c r="D38"/>
    </row>
    <row r="39" spans="3:8" x14ac:dyDescent="0.35">
      <c r="C39"/>
      <c r="D39"/>
    </row>
    <row r="40" spans="3:8" x14ac:dyDescent="0.35">
      <c r="C40"/>
      <c r="D40"/>
    </row>
    <row r="41" spans="3:8" x14ac:dyDescent="0.35">
      <c r="C41"/>
      <c r="D41"/>
    </row>
    <row r="42" spans="3:8" x14ac:dyDescent="0.35">
      <c r="C42"/>
      <c r="D42"/>
    </row>
    <row r="43" spans="3:8" x14ac:dyDescent="0.35">
      <c r="C43"/>
      <c r="D43"/>
    </row>
    <row r="44" spans="3:8" x14ac:dyDescent="0.35">
      <c r="C44"/>
      <c r="D44"/>
    </row>
    <row r="45" spans="3:8" x14ac:dyDescent="0.35">
      <c r="C45"/>
      <c r="D45"/>
    </row>
    <row r="46" spans="3:8" x14ac:dyDescent="0.35">
      <c r="C46"/>
      <c r="D46"/>
    </row>
    <row r="47" spans="3:8" x14ac:dyDescent="0.35">
      <c r="C47"/>
      <c r="D47"/>
    </row>
    <row r="48" spans="3:8" x14ac:dyDescent="0.35">
      <c r="C48"/>
      <c r="D48"/>
    </row>
    <row r="49" spans="3:4" x14ac:dyDescent="0.35">
      <c r="C49"/>
      <c r="D49"/>
    </row>
    <row r="50" spans="3:4" x14ac:dyDescent="0.35">
      <c r="C50"/>
      <c r="D50"/>
    </row>
    <row r="51" spans="3:4" x14ac:dyDescent="0.35">
      <c r="C51"/>
      <c r="D51"/>
    </row>
    <row r="52" spans="3:4" x14ac:dyDescent="0.35">
      <c r="C52"/>
      <c r="D52"/>
    </row>
    <row r="53" spans="3:4" x14ac:dyDescent="0.35">
      <c r="C53"/>
      <c r="D53"/>
    </row>
    <row r="54" spans="3:4" x14ac:dyDescent="0.35">
      <c r="C54"/>
      <c r="D54"/>
    </row>
    <row r="55" spans="3:4" x14ac:dyDescent="0.35">
      <c r="C55"/>
      <c r="D55"/>
    </row>
    <row r="56" spans="3:4" x14ac:dyDescent="0.35">
      <c r="C56"/>
      <c r="D56"/>
    </row>
    <row r="57" spans="3:4" x14ac:dyDescent="0.35">
      <c r="C57"/>
      <c r="D57"/>
    </row>
    <row r="58" spans="3:4" x14ac:dyDescent="0.35">
      <c r="C58"/>
      <c r="D58"/>
    </row>
    <row r="59" spans="3:4" x14ac:dyDescent="0.35">
      <c r="C59"/>
      <c r="D59"/>
    </row>
    <row r="60" spans="3:4" x14ac:dyDescent="0.35">
      <c r="C60"/>
      <c r="D60"/>
    </row>
    <row r="61" spans="3:4" x14ac:dyDescent="0.35">
      <c r="C61"/>
      <c r="D61"/>
    </row>
    <row r="62" spans="3:4" x14ac:dyDescent="0.35">
      <c r="C62"/>
      <c r="D62"/>
    </row>
    <row r="63" spans="3:4" x14ac:dyDescent="0.35">
      <c r="C63"/>
      <c r="D63"/>
    </row>
    <row r="64" spans="3:4" x14ac:dyDescent="0.35">
      <c r="C64"/>
      <c r="D64"/>
    </row>
    <row r="65" spans="3:4" x14ac:dyDescent="0.35">
      <c r="C65"/>
      <c r="D65"/>
    </row>
    <row r="66" spans="3:4" x14ac:dyDescent="0.35">
      <c r="C66"/>
      <c r="D66"/>
    </row>
    <row r="67" spans="3:4" x14ac:dyDescent="0.35">
      <c r="C67"/>
      <c r="D67"/>
    </row>
    <row r="68" spans="3:4" x14ac:dyDescent="0.35">
      <c r="C68"/>
      <c r="D68"/>
    </row>
    <row r="69" spans="3:4" x14ac:dyDescent="0.35">
      <c r="C69"/>
      <c r="D69"/>
    </row>
    <row r="70" spans="3:4" x14ac:dyDescent="0.35">
      <c r="C70"/>
      <c r="D70"/>
    </row>
    <row r="71" spans="3:4" x14ac:dyDescent="0.35">
      <c r="C71"/>
      <c r="D71"/>
    </row>
    <row r="72" spans="3:4" x14ac:dyDescent="0.35">
      <c r="C72"/>
      <c r="D72"/>
    </row>
    <row r="73" spans="3:4" x14ac:dyDescent="0.35">
      <c r="C73"/>
      <c r="D73"/>
    </row>
    <row r="74" spans="3:4" x14ac:dyDescent="0.35">
      <c r="C74"/>
      <c r="D74"/>
    </row>
    <row r="75" spans="3:4" x14ac:dyDescent="0.35">
      <c r="C75"/>
      <c r="D75"/>
    </row>
    <row r="76" spans="3:4" x14ac:dyDescent="0.35">
      <c r="C76"/>
      <c r="D76"/>
    </row>
    <row r="77" spans="3:4" x14ac:dyDescent="0.35">
      <c r="C77"/>
      <c r="D77"/>
    </row>
    <row r="78" spans="3:4" x14ac:dyDescent="0.35">
      <c r="C78"/>
      <c r="D78"/>
    </row>
    <row r="79" spans="3:4" x14ac:dyDescent="0.35">
      <c r="C79"/>
      <c r="D79"/>
    </row>
    <row r="80" spans="3:4" x14ac:dyDescent="0.35">
      <c r="C80"/>
      <c r="D80"/>
    </row>
  </sheetData>
  <mergeCells count="4">
    <mergeCell ref="A1:B2"/>
    <mergeCell ref="C1:L1"/>
    <mergeCell ref="C2:L2"/>
    <mergeCell ref="A4:N4"/>
  </mergeCells>
  <phoneticPr fontId="11" type="noConversion"/>
  <conditionalFormatting sqref="B9">
    <cfRule type="cellIs" dxfId="3" priority="4" operator="equal">
      <formula>"Terminer"</formula>
    </cfRule>
  </conditionalFormatting>
  <conditionalFormatting sqref="B10">
    <cfRule type="cellIs" dxfId="2" priority="2" operator="equal">
      <formula>"En cours"</formula>
    </cfRule>
  </conditionalFormatting>
  <conditionalFormatting sqref="C9:D9">
    <cfRule type="cellIs" dxfId="1" priority="3" operator="equal">
      <formula>"Terminer"</formula>
    </cfRule>
  </conditionalFormatting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125863E5F8E384B9ACE568C83A00093" ma:contentTypeVersion="14" ma:contentTypeDescription="Create a new document." ma:contentTypeScope="" ma:versionID="88efeb51c8fee0ebdd0f864f037aa3cb">
  <xsd:schema xmlns:xsd="http://www.w3.org/2001/XMLSchema" xmlns:xs="http://www.w3.org/2001/XMLSchema" xmlns:p="http://schemas.microsoft.com/office/2006/metadata/properties" xmlns:ns2="8c9b50b2-3577-462d-8987-db6eaebf117e" xmlns:ns3="28b1e389-4449-4236-aacb-f253050a2458" targetNamespace="http://schemas.microsoft.com/office/2006/metadata/properties" ma:root="true" ma:fieldsID="135cad48760612477741b85d88499a7d" ns2:_="" ns3:_="">
    <xsd:import namespace="8c9b50b2-3577-462d-8987-db6eaebf117e"/>
    <xsd:import namespace="28b1e389-4449-4236-aacb-f253050a245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LengthInSecond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9b50b2-3577-462d-8987-db6eaebf117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6eb5bf52-95a1-45ed-bb20-d727be964741}" ma:internalName="TaxCatchAll" ma:showField="CatchAllData" ma:web="8c9b50b2-3577-462d-8987-db6eaebf117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b1e389-4449-4236-aacb-f253050a24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fe89e70-0365-4596-95bc-ed0240ed214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c9b50b2-3577-462d-8987-db6eaebf117e" xsi:nil="true"/>
    <lcf76f155ced4ddcb4097134ff3c332f xmlns="28b1e389-4449-4236-aacb-f253050a245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EA381C4-E389-4868-A341-71D0B10826B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8B97E42-CB03-413C-B9A7-1CF94596A8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c9b50b2-3577-462d-8987-db6eaebf117e"/>
    <ds:schemaRef ds:uri="28b1e389-4449-4236-aacb-f253050a24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1420325-5892-45D5-A3E9-2507C2671F40}">
  <ds:schemaRefs>
    <ds:schemaRef ds:uri="http://schemas.microsoft.com/office/2006/metadata/properties"/>
    <ds:schemaRef ds:uri="http://schemas.microsoft.com/office/infopath/2007/PartnerControls"/>
    <ds:schemaRef ds:uri="8c9b50b2-3577-462d-8987-db6eaebf117e"/>
    <ds:schemaRef ds:uri="28b1e389-4449-4236-aacb-f253050a245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Recording</vt:lpstr>
      <vt:lpstr>Data analysis</vt:lpstr>
      <vt:lpstr>Action plan</vt:lpstr>
      <vt:lpstr>Donnée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Senouni, Khadija</dc:creator>
  <cp:keywords/>
  <dc:description/>
  <cp:lastModifiedBy>Ait Chaib, Othman</cp:lastModifiedBy>
  <cp:revision/>
  <dcterms:created xsi:type="dcterms:W3CDTF">2024-12-05T14:11:06Z</dcterms:created>
  <dcterms:modified xsi:type="dcterms:W3CDTF">2026-07-14T08:42:18Z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0x010100D125863E5F8E384B9ACE568C83A00093</vt:lpwstr>
  </property>
</Properties>
</file>