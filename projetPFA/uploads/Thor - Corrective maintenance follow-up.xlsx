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360-my.sharepoint.com/personal/othman_aitchaib_te_com/Documents/Desktop/Thor Project/Thor - Maintenance/Break Downs/"/>
    </mc:Choice>
  </mc:AlternateContent>
  <xr:revisionPtr revIDLastSave="7" documentId="13_ncr:1_{193EB9DA-429A-4C83-AC50-92950D035860}" xr6:coauthVersionLast="47" xr6:coauthVersionMax="47" xr10:uidLastSave="{227C8005-2433-48DC-91B3-142508F83047}"/>
  <bookViews>
    <workbookView xWindow="-110" yWindow="-110" windowWidth="19420" windowHeight="10300" tabRatio="758" xr2:uid="{CD570E8C-1AD9-4EAB-A05A-6D3F7DA4BBF0}"/>
  </bookViews>
  <sheets>
    <sheet name="Recording" sheetId="3" r:id="rId1"/>
    <sheet name="Data analysis" sheetId="6" state="hidden" r:id="rId2"/>
    <sheet name="Action plan" sheetId="1" r:id="rId3"/>
    <sheet name="Donnée" sheetId="13" state="hidden" r:id="rId4"/>
  </sheets>
  <externalReferences>
    <externalReference r:id="rId5"/>
  </externalReferences>
  <definedNames>
    <definedName name="CCAO">#REF!</definedName>
    <definedName name="dia">#N/A</definedName>
    <definedName name="dial">#N/A</definedName>
    <definedName name="Kontr">#N/A</definedName>
    <definedName name="M">#N/A</definedName>
    <definedName name="NajdiaOznač">#N/A</definedName>
    <definedName name="NajdiaVymaž">#N/A</definedName>
    <definedName name="RESOLVERS">#REF!</definedName>
    <definedName name="TB">#REF!</definedName>
    <definedName name="TEMINAL_BLOC">#REF!</definedName>
    <definedName name="TERMINAL_BLOC">#REF!</definedName>
    <definedName name="TERMINAL8BLOC">#REF!</definedName>
    <definedName name="tisk" localSheetId="3">[1]!tisk</definedName>
    <definedName name="tisk">[1]!tisk</definedName>
    <definedName name="tisk_druhé_strany" localSheetId="3">[1]!tisk_druhé_strany</definedName>
    <definedName name="tisk_druhé_strany">[1]!tisk_druhé_strany</definedName>
    <definedName name="ZadáníCmk">#N/A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6" l="1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</calcChain>
</file>

<file path=xl/sharedStrings.xml><?xml version="1.0" encoding="utf-8"?>
<sst xmlns="http://schemas.openxmlformats.org/spreadsheetml/2006/main" count="249" uniqueCount="209">
  <si>
    <t>Industrial BU - Tangier - Morocco</t>
  </si>
  <si>
    <t>Rev</t>
  </si>
  <si>
    <t>Date</t>
  </si>
  <si>
    <t>P02_VS1 - FOR136</t>
  </si>
  <si>
    <t xml:space="preserve">Suivi de la Maintenance Corrective  </t>
  </si>
  <si>
    <t>Plan d'action</t>
  </si>
  <si>
    <t>Analyse des données</t>
  </si>
  <si>
    <t>Enregistrement des données</t>
  </si>
  <si>
    <t xml:space="preserve">Machine </t>
  </si>
  <si>
    <t>Description du problème</t>
  </si>
  <si>
    <t>Cause de non-détection</t>
  </si>
  <si>
    <t>Analyse des cause</t>
  </si>
  <si>
    <t>Cause d'occurance:</t>
  </si>
  <si>
    <t>Mois / Année</t>
  </si>
  <si>
    <t>Actions correctives</t>
  </si>
  <si>
    <t>Responsables</t>
  </si>
  <si>
    <t>Date prévue de réalisation</t>
  </si>
  <si>
    <t>Date de réalisation</t>
  </si>
  <si>
    <t>Statut de l'action</t>
  </si>
  <si>
    <t>Efficacité *</t>
  </si>
  <si>
    <t>Note: (*) définir une durée de surveillance de réapparition du problème, si le problème ne réapparét pas donc l'action corrective est efficace, sinon refaire l'analyse.</t>
  </si>
  <si>
    <t xml:space="preserve">Date </t>
  </si>
  <si>
    <t>Semaine</t>
  </si>
  <si>
    <t>PROJET</t>
  </si>
  <si>
    <t>Machine</t>
  </si>
  <si>
    <t>Outil 
(Applicateur, Test, Tableau, Press manuelle)</t>
  </si>
  <si>
    <t>Type d'intervention</t>
  </si>
  <si>
    <t>Intervenant</t>
  </si>
  <si>
    <t>Durée de l'Arrêt
(min)</t>
  </si>
  <si>
    <t>Problème</t>
  </si>
  <si>
    <t>Détails de l'intervention</t>
  </si>
  <si>
    <t>Status Intervention</t>
  </si>
  <si>
    <t xml:space="preserve">Risque de Sécurité (après l'intervention Maintenance) </t>
  </si>
  <si>
    <t>Shift</t>
  </si>
  <si>
    <t>(blank)</t>
  </si>
  <si>
    <t>Grand Total</t>
  </si>
  <si>
    <t>Row Labels</t>
  </si>
  <si>
    <t>Maintenance</t>
  </si>
  <si>
    <t>NAOUFAL MAFHOUM</t>
  </si>
  <si>
    <t>Terminer</t>
  </si>
  <si>
    <t>ZS4</t>
  </si>
  <si>
    <t>SNK 5</t>
  </si>
  <si>
    <t xml:space="preserve">Power Strip 1 </t>
  </si>
  <si>
    <t>Komax Alpha</t>
  </si>
  <si>
    <t>HR Gpress StripCrimp</t>
  </si>
  <si>
    <t>Test</t>
  </si>
  <si>
    <t>ZS6</t>
  </si>
  <si>
    <t>ZK2.5</t>
  </si>
  <si>
    <t>BAM</t>
  </si>
  <si>
    <t>Komax Gamma</t>
  </si>
  <si>
    <t>Power Strip 2</t>
  </si>
  <si>
    <t>HR Dénudeuse 4 fils</t>
  </si>
  <si>
    <t>BOY 3</t>
  </si>
  <si>
    <t>BAZ1</t>
  </si>
  <si>
    <t>Applicateur</t>
  </si>
  <si>
    <t>En cours</t>
  </si>
  <si>
    <t>M4/6</t>
  </si>
  <si>
    <t xml:space="preserve">Laser Marking System </t>
  </si>
  <si>
    <t>Winding Machine Stator K11666</t>
  </si>
  <si>
    <t>G-PRESS de Sertissage 3 TE</t>
  </si>
  <si>
    <t>BEN DAOUD MOHAMED</t>
  </si>
  <si>
    <t>Production</t>
  </si>
  <si>
    <t>BOY 5</t>
  </si>
  <si>
    <t xml:space="preserve">Alpha Jet Noir </t>
  </si>
  <si>
    <t>Press Manuel</t>
  </si>
  <si>
    <t>Ultrasonic 1</t>
  </si>
  <si>
    <t xml:space="preserve">HR Connector assembly </t>
  </si>
  <si>
    <t>Sum of Durée de l'Arrêt
(min)</t>
  </si>
  <si>
    <t>(All)</t>
  </si>
  <si>
    <t>Mois</t>
  </si>
  <si>
    <t>%</t>
  </si>
  <si>
    <t>type d'arrêt</t>
  </si>
  <si>
    <t>EcoCut</t>
  </si>
  <si>
    <t>G-PRESS de Sertissage 1 TE</t>
  </si>
  <si>
    <t>G-PRESS de Sertissage 2 TE</t>
  </si>
  <si>
    <t xml:space="preserve">Ensacheuse Automatique </t>
  </si>
  <si>
    <t>G-PRESS de Sertissage 4-AMP</t>
  </si>
  <si>
    <t>Ultrasonic 4</t>
  </si>
  <si>
    <t>SNK 2</t>
  </si>
  <si>
    <t>Test 2 : MARTA 2-2</t>
  </si>
  <si>
    <t>SNK 6</t>
  </si>
  <si>
    <t>Test 2 : MARTA 4-1</t>
  </si>
  <si>
    <t xml:space="preserve">RC </t>
  </si>
  <si>
    <t>Cutting Rail Automatique</t>
  </si>
  <si>
    <t>Winding Machine Rotor K06677</t>
  </si>
  <si>
    <t>Denudeuse</t>
  </si>
  <si>
    <t>G-Press</t>
  </si>
  <si>
    <t>Status intervention</t>
  </si>
  <si>
    <t>Projet</t>
  </si>
  <si>
    <t>TYPE D'INTERVENTION</t>
  </si>
  <si>
    <t>ELECTRIQUE</t>
  </si>
  <si>
    <t>MECANIQUE</t>
  </si>
  <si>
    <t>PNEUMATIQUE</t>
  </si>
  <si>
    <t>HYDRAULIQUE</t>
  </si>
  <si>
    <t>ELECTRONIQUE</t>
  </si>
  <si>
    <t>INFORMATIQUE</t>
  </si>
  <si>
    <t>PARAMETRES</t>
  </si>
  <si>
    <t>MAINTENANCE NIVEAU 1</t>
  </si>
  <si>
    <t>SETUP APPLICATEUR</t>
  </si>
  <si>
    <t>CALIBRATION</t>
  </si>
  <si>
    <t>Machine de sertissage</t>
  </si>
  <si>
    <t>Machine de dénudage</t>
  </si>
  <si>
    <t>Cable</t>
  </si>
  <si>
    <t>BTB</t>
  </si>
  <si>
    <t>IDC</t>
  </si>
  <si>
    <t>RWB Male</t>
  </si>
  <si>
    <t>6h-14h</t>
  </si>
  <si>
    <t>14h-22h</t>
  </si>
  <si>
    <t>22h-6h</t>
  </si>
  <si>
    <t>Assembly board to board II A_501170</t>
  </si>
  <si>
    <t>Assembly board to board II B_501595</t>
  </si>
  <si>
    <t>BTB_Camera inspection_741112</t>
  </si>
  <si>
    <t>E-Test Leshin Lx650_LX 164235</t>
  </si>
  <si>
    <t>Optimel Ferite_01530</t>
  </si>
  <si>
    <t>Optimel SMC B2B B_541194</t>
  </si>
  <si>
    <t>SMC Board to Board Adaptor II A_541198 (01744)</t>
  </si>
  <si>
    <t>SMC Board to Board Adaptor II B_541260 (01772)</t>
  </si>
  <si>
    <t>AIR WIRE STRIPPER_00465</t>
  </si>
  <si>
    <t>AIR WIRE STRIPPER_00466</t>
  </si>
  <si>
    <t>ASSY KOSAL CONTACT_00163</t>
  </si>
  <si>
    <t>Computerized wire cutting and Stripping_01412</t>
  </si>
  <si>
    <t>Junquan cutting and stripping_00610</t>
  </si>
  <si>
    <t>Crimp Center 36S_00887</t>
  </si>
  <si>
    <t>Junquan cutting and stripping_02319</t>
  </si>
  <si>
    <t>Ink Jet KGK CCS-R BLUE_CRT4A7I9I</t>
  </si>
  <si>
    <t>Ink Jet KGK CCS-R BLUE_CRTSC1E6B</t>
  </si>
  <si>
    <t>KMT-20_00252</t>
  </si>
  <si>
    <t>KMT-20_00429</t>
  </si>
  <si>
    <t>KOMAX 20 CABLE_00927</t>
  </si>
  <si>
    <t>AUTOMATIC CUTTING AND STRIPPING_02230</t>
  </si>
  <si>
    <t>Cross Section Monitor_CS-05W_01920</t>
  </si>
  <si>
    <t>Roller Printing</t>
  </si>
  <si>
    <t>Test Stand SJH 500_50246</t>
  </si>
  <si>
    <t>Tube Cutting Machine_02404</t>
  </si>
  <si>
    <t>UniStrip  2015_01316</t>
  </si>
  <si>
    <t>WDT CABLE_00928</t>
  </si>
  <si>
    <t>WDT CABLE_50238</t>
  </si>
  <si>
    <t>Wele Microbridge Automet 90°_02288</t>
  </si>
  <si>
    <t>Wele Minibridge Automet 180°_01587</t>
  </si>
  <si>
    <t>Wele Minibridge Automet 180°_01780</t>
  </si>
  <si>
    <t>Wele Minibridge Automet 180°_02237</t>
  </si>
  <si>
    <t>Wele Minibridge Automet 90°_01586</t>
  </si>
  <si>
    <t>Wele Minibridge Automet 90°_01781</t>
  </si>
  <si>
    <t>Wele Minibridge Automet 90°_01894</t>
  </si>
  <si>
    <t>IDC_Packing machine_01752</t>
  </si>
  <si>
    <t>Maxibridge Female Line 4_00865</t>
  </si>
  <si>
    <t>Maxibridge Female Line 4_Printing CRT4A7I9J</t>
  </si>
  <si>
    <t>Maxibridge Female Line 5_01209</t>
  </si>
  <si>
    <t>Maxibridge Female Line 5_Printing CRTB7F3J</t>
  </si>
  <si>
    <t>Maxibridge Female Line 6_01356</t>
  </si>
  <si>
    <t>Maxibridge Female Line 6_Printing CRTB1J3G</t>
  </si>
  <si>
    <t>Maxibridge Female Line 7_01357</t>
  </si>
  <si>
    <t>Maxibridge Female Line 7_Printing CRTBIJ3F</t>
  </si>
  <si>
    <t>Microbridge Female_Camera inspection_741159 (02252)</t>
  </si>
  <si>
    <t>Microbridge Female_Eberhard8_582313 (02250)</t>
  </si>
  <si>
    <t>MCB Male_Packing  BK-05_582296</t>
  </si>
  <si>
    <t>MCB Male_Universal OVEN XUE490_02344</t>
  </si>
  <si>
    <t>Microbridge Male_Camera inspection_741160</t>
  </si>
  <si>
    <t>Microbridge Male_Eberhard9_Contact insert_582297</t>
  </si>
  <si>
    <t>Microbridge_Clip insert_541289 (01655)</t>
  </si>
  <si>
    <t>Microbridge_feed cut Clip _541296 (01654)</t>
  </si>
  <si>
    <t>Microbridge_Seal machine_01616</t>
  </si>
  <si>
    <t>MCC 180 Female_DRCB_Eberhard 5_582134 (01767)</t>
  </si>
  <si>
    <t>MCC 180 Female_EOL neunman machine_582188 (02357)</t>
  </si>
  <si>
    <t>MCC 180 Male EOL_01833</t>
  </si>
  <si>
    <t>MCC 180 Male_DRCQ_Eberhard 6_582135 (01771)</t>
  </si>
  <si>
    <t>MCC 90 Female_Eberhard7_582155</t>
  </si>
  <si>
    <t>MCC Female 90°_Camera inspection_741200</t>
  </si>
  <si>
    <t>MCC 90 Male_Eberhard 10_582156</t>
  </si>
  <si>
    <t>MCC Male 90°_Camera Inspection_741068</t>
  </si>
  <si>
    <t>MCC 90_Printing machine_02213</t>
  </si>
  <si>
    <t>MCC 90°_Packing machine_02211 (241147)</t>
  </si>
  <si>
    <t>Clip Insert M/C _01766</t>
  </si>
  <si>
    <t>Cutting Contact Siemens_541174 (02346)</t>
  </si>
  <si>
    <t>Maxibridge camera Inspection_741156 (01372)</t>
  </si>
  <si>
    <t>Maxibridge Seal machine_01725</t>
  </si>
  <si>
    <t>Power connector_Packing machine_01729</t>
  </si>
  <si>
    <t>Power Connector_Printing_CRTSC1H2E_00613</t>
  </si>
  <si>
    <t>Power Connector_Universal OVEN XU343_01736</t>
  </si>
  <si>
    <t>Cutting Shield female(reeling system)_51664</t>
  </si>
  <si>
    <t>RWB Female_Eberhard_Contact assembly machine  MES 529_01754</t>
  </si>
  <si>
    <t>RWB Female_Eberhard_Contact assembly machine MES 545_01758</t>
  </si>
  <si>
    <t>RWB Female_EOL _01596</t>
  </si>
  <si>
    <t>Cutting Shield Female_02163</t>
  </si>
  <si>
    <t>Feeder system for maunal cutting sheild_541070</t>
  </si>
  <si>
    <t>KGK CCS-R 50 Micron_01832</t>
  </si>
  <si>
    <t>RWB Male_Camera inspection_741136 (01756)</t>
  </si>
  <si>
    <t xml:space="preserve">RWB Male_Eberhard 4_Contact insert MES 602_02137 </t>
  </si>
  <si>
    <t>RWB Male_Packing machine  BK-05_582150 (01757)</t>
  </si>
  <si>
    <t>MCC 180 Female_Printing CRACTB9B3E_01332 intergrated in the EOL</t>
  </si>
  <si>
    <t>MCC 180° Female_Packing machine intergrated in the EOL</t>
  </si>
  <si>
    <t>MCC Female 180°_Camera testing machine  intergrated in the EOL</t>
  </si>
  <si>
    <t>MCC 180 Male_Packing machine intergrated in the EOL</t>
  </si>
  <si>
    <t>MCC 180 Male_Printing machine CRACTSC2B0D_02054 intergrated in the EOL</t>
  </si>
  <si>
    <t>MCC Male 180°_Camera testing machine_741070  intergrated in the EOL</t>
  </si>
  <si>
    <t>RWB Female_Camera testing machine_741061 (01755) intergrated in the EOL</t>
  </si>
  <si>
    <t>RWB Female_Packing BK-05 A_01538 intergrated in the EOL</t>
  </si>
  <si>
    <t>RWB Female_Printing CRACTB9C4H_01443  intergrated in the EOL</t>
  </si>
  <si>
    <t>Maxibridge_Female</t>
  </si>
  <si>
    <t>MCB_Female</t>
  </si>
  <si>
    <t>MCB_Male</t>
  </si>
  <si>
    <t>MCC_180_Female</t>
  </si>
  <si>
    <t>MCC_180_Male</t>
  </si>
  <si>
    <t>MCC_90_Female</t>
  </si>
  <si>
    <t>MCC_90_Male</t>
  </si>
  <si>
    <t>Power_Connector</t>
  </si>
  <si>
    <t>RWB_Female</t>
  </si>
  <si>
    <t>MCC_90_Male_Female</t>
  </si>
  <si>
    <t>Suivi de la Maintenance Corrective - 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</si>
</sst>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u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000000"/>
      <name val="Calibri"/>
      <family val="2"/>
    </font>
    <font>
      <b/>
      <sz val="8"/>
      <color theme="1" tint="4.9989318521683403E-2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theme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7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8" fillId="4" borderId="32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7" fillId="0" borderId="0" xfId="0" applyFont="1"/>
    <xf numFmtId="0" fontId="7" fillId="5" borderId="34" xfId="0" applyFont="1" applyFill="1" applyBorder="1"/>
    <xf numFmtId="0" fontId="7" fillId="0" borderId="34" xfId="0" applyFont="1" applyBorder="1"/>
    <xf numFmtId="0" fontId="9" fillId="0" borderId="0" xfId="0" applyFont="1"/>
    <xf numFmtId="0" fontId="8" fillId="4" borderId="37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4" borderId="35" xfId="0" applyFont="1" applyFill="1" applyBorder="1" applyAlignment="1">
      <alignment horizontal="center" vertical="center"/>
    </xf>
    <xf numFmtId="0" fontId="7" fillId="5" borderId="36" xfId="0" applyFont="1" applyFill="1" applyBorder="1"/>
    <xf numFmtId="0" fontId="7" fillId="0" borderId="36" xfId="0" applyFont="1" applyBorder="1"/>
    <xf numFmtId="0" fontId="7" fillId="5" borderId="29" xfId="0" applyFont="1" applyFill="1" applyBorder="1"/>
    <xf numFmtId="0" fontId="10" fillId="3" borderId="28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" fillId="7" borderId="3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17" fontId="0" fillId="0" borderId="15" xfId="0" applyNumberFormat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medium">
          <color auto="1"/>
        </left>
        <right style="medium">
          <color auto="1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[Thor - Corrective maintenance follow-up.xlsx]Data analysis!PivotTable28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Assembly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analysis'!$A$14:$A$56</c:f>
              <c:strCache>
                <c:ptCount val="42"/>
                <c:pt idx="0">
                  <c:v>BAM</c:v>
                </c:pt>
                <c:pt idx="1">
                  <c:v>M4/6</c:v>
                </c:pt>
                <c:pt idx="2">
                  <c:v>Ensacheuse Automatique </c:v>
                </c:pt>
                <c:pt idx="3">
                  <c:v>SNK 5</c:v>
                </c:pt>
                <c:pt idx="4">
                  <c:v>Test</c:v>
                </c:pt>
                <c:pt idx="5">
                  <c:v>Komax Gamma</c:v>
                </c:pt>
                <c:pt idx="6">
                  <c:v>EcoCut</c:v>
                </c:pt>
                <c:pt idx="7">
                  <c:v>G-PRESS de Sertissage 2 TE</c:v>
                </c:pt>
                <c:pt idx="8">
                  <c:v>Press Manuel</c:v>
                </c:pt>
                <c:pt idx="9">
                  <c:v>ZS6</c:v>
                </c:pt>
                <c:pt idx="10">
                  <c:v>G-Press</c:v>
                </c:pt>
                <c:pt idx="11">
                  <c:v>HR Dénudeuse 4 fils</c:v>
                </c:pt>
                <c:pt idx="12">
                  <c:v>Winding Machine Stator K11666</c:v>
                </c:pt>
                <c:pt idx="13">
                  <c:v>Applicateur</c:v>
                </c:pt>
                <c:pt idx="14">
                  <c:v>G-PRESS de Sertissage 3 TE</c:v>
                </c:pt>
                <c:pt idx="15">
                  <c:v>Cutting Rail Automatique</c:v>
                </c:pt>
                <c:pt idx="16">
                  <c:v>Denudeuse</c:v>
                </c:pt>
                <c:pt idx="17">
                  <c:v>HR Connector assembly </c:v>
                </c:pt>
                <c:pt idx="18">
                  <c:v>Alpha Jet Noir </c:v>
                </c:pt>
                <c:pt idx="19">
                  <c:v>Machine de sertissage</c:v>
                </c:pt>
                <c:pt idx="20">
                  <c:v>ZK2.5</c:v>
                </c:pt>
                <c:pt idx="21">
                  <c:v>BOY 3</c:v>
                </c:pt>
                <c:pt idx="22">
                  <c:v>Komax Alpha</c:v>
                </c:pt>
                <c:pt idx="23">
                  <c:v>RC </c:v>
                </c:pt>
                <c:pt idx="24">
                  <c:v>Ultrasonic 4</c:v>
                </c:pt>
                <c:pt idx="25">
                  <c:v>Ultrasonic 1</c:v>
                </c:pt>
                <c:pt idx="26">
                  <c:v>Winding Machine Rotor K06677</c:v>
                </c:pt>
                <c:pt idx="27">
                  <c:v>Machine de dénudage</c:v>
                </c:pt>
                <c:pt idx="28">
                  <c:v>Test 2 : MARTA 2-2</c:v>
                </c:pt>
                <c:pt idx="29">
                  <c:v>Power Strip 1 </c:v>
                </c:pt>
                <c:pt idx="30">
                  <c:v>ZS4</c:v>
                </c:pt>
                <c:pt idx="31">
                  <c:v>SNK 6</c:v>
                </c:pt>
                <c:pt idx="32">
                  <c:v>BAZ1</c:v>
                </c:pt>
                <c:pt idx="33">
                  <c:v>G-PRESS de Sertissage 4-AMP</c:v>
                </c:pt>
                <c:pt idx="34">
                  <c:v>Laser Marking System </c:v>
                </c:pt>
                <c:pt idx="35">
                  <c:v>HR Gpress StripCrimp</c:v>
                </c:pt>
                <c:pt idx="36">
                  <c:v>Test 2 : MARTA 4-1</c:v>
                </c:pt>
                <c:pt idx="37">
                  <c:v>SNK 2</c:v>
                </c:pt>
                <c:pt idx="38">
                  <c:v>G-PRESS de Sertissage 1 TE</c:v>
                </c:pt>
                <c:pt idx="39">
                  <c:v>BOY 5</c:v>
                </c:pt>
                <c:pt idx="40">
                  <c:v>Power Strip 2</c:v>
                </c:pt>
                <c:pt idx="41">
                  <c:v>(blank)</c:v>
                </c:pt>
              </c:strCache>
            </c:strRef>
          </c:cat>
          <c:val>
            <c:numRef>
              <c:f>'Data analysis'!$B$14:$B$56</c:f>
              <c:numCache>
                <c:formatCode>General</c:formatCode>
                <c:ptCount val="42"/>
                <c:pt idx="0">
                  <c:v>700</c:v>
                </c:pt>
                <c:pt idx="1">
                  <c:v>680</c:v>
                </c:pt>
                <c:pt idx="2">
                  <c:v>565</c:v>
                </c:pt>
                <c:pt idx="3">
                  <c:v>525</c:v>
                </c:pt>
                <c:pt idx="4">
                  <c:v>255</c:v>
                </c:pt>
                <c:pt idx="5">
                  <c:v>245</c:v>
                </c:pt>
                <c:pt idx="6">
                  <c:v>200</c:v>
                </c:pt>
                <c:pt idx="7">
                  <c:v>190</c:v>
                </c:pt>
                <c:pt idx="8">
                  <c:v>170</c:v>
                </c:pt>
                <c:pt idx="9">
                  <c:v>140</c:v>
                </c:pt>
                <c:pt idx="10">
                  <c:v>115</c:v>
                </c:pt>
                <c:pt idx="11">
                  <c:v>105</c:v>
                </c:pt>
                <c:pt idx="12">
                  <c:v>105</c:v>
                </c:pt>
                <c:pt idx="13">
                  <c:v>100</c:v>
                </c:pt>
                <c:pt idx="14">
                  <c:v>85</c:v>
                </c:pt>
                <c:pt idx="15">
                  <c:v>75</c:v>
                </c:pt>
                <c:pt idx="16">
                  <c:v>75</c:v>
                </c:pt>
                <c:pt idx="17">
                  <c:v>55</c:v>
                </c:pt>
                <c:pt idx="18">
                  <c:v>50</c:v>
                </c:pt>
                <c:pt idx="19">
                  <c:v>50</c:v>
                </c:pt>
                <c:pt idx="20">
                  <c:v>45</c:v>
                </c:pt>
                <c:pt idx="21">
                  <c:v>40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15</c:v>
                </c:pt>
                <c:pt idx="39">
                  <c:v>15</c:v>
                </c:pt>
                <c:pt idx="4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C-4529-9EEB-59B9E64B1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977064"/>
        <c:axId val="858973104"/>
      </c:barChart>
      <c:catAx>
        <c:axId val="85897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73104"/>
        <c:crosses val="autoZero"/>
        <c:auto val="1"/>
        <c:lblAlgn val="ctr"/>
        <c:lblOffset val="100"/>
        <c:noMultiLvlLbl val="0"/>
      </c:catAx>
      <c:valAx>
        <c:axId val="8589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7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670469</xdr:colOff>
      <xdr:row>0</xdr:row>
      <xdr:rowOff>11657</xdr:rowOff>
    </xdr:from>
    <xdr:ext cx="1019174" cy="405020"/>
    <xdr:pic>
      <xdr:nvPicPr>
        <xdr:cNvPr id="2" name="Picture 1">
          <a:extLst>
            <a:ext uri="{FF2B5EF4-FFF2-40B4-BE49-F238E27FC236}">
              <a16:creationId xmlns:a16="http://schemas.microsoft.com/office/drawing/2014/main" id="{92B59347-9D10-4B73-8314-F6F7355A6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469" y="11657"/>
          <a:ext cx="1019174" cy="4050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161926</xdr:colOff>
      <xdr:row>0</xdr:row>
      <xdr:rowOff>47628</xdr:rowOff>
    </xdr:from>
    <xdr:ext cx="1019174" cy="405020"/>
    <xdr:pic>
      <xdr:nvPicPr>
        <xdr:cNvPr id="2" name="Picture 1">
          <a:extLst>
            <a:ext uri="{FF2B5EF4-FFF2-40B4-BE49-F238E27FC236}">
              <a16:creationId xmlns:a16="http://schemas.microsoft.com/office/drawing/2014/main" id="{DC03D9B6-AD61-4A45-B5D4-30CD65D4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1" y="44453"/>
          <a:ext cx="1019174" cy="405020"/>
        </a:xfrm>
        <a:prstGeom prst="rect">
          <a:avLst/>
        </a:prstGeom>
      </xdr:spPr>
    </xdr:pic>
    <xdr:clientData/>
  </xdr:oneCellAnchor>
  <xdr:twoCellAnchor>
    <xdr:from>
      <xdr:col>3</xdr:col>
      <xdr:colOff>734331</xdr:colOff>
      <xdr:row>13</xdr:row>
      <xdr:rowOff>97971</xdr:rowOff>
    </xdr:from>
    <xdr:to>
      <xdr:col>12</xdr:col>
      <xdr:colOff>557892</xdr:colOff>
      <xdr:row>49</xdr:row>
      <xdr:rowOff>105682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9BE3AE-67A5-9D57-798D-53AB76B8A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161926</xdr:colOff>
      <xdr:row>0</xdr:row>
      <xdr:rowOff>47628</xdr:rowOff>
    </xdr:from>
    <xdr:ext cx="1019174" cy="405020"/>
    <xdr:pic>
      <xdr:nvPicPr>
        <xdr:cNvPr id="2" name="Picture 1">
          <a:extLst>
            <a:ext uri="{FF2B5EF4-FFF2-40B4-BE49-F238E27FC236}">
              <a16:creationId xmlns:a16="http://schemas.microsoft.com/office/drawing/2014/main" id="{F28EF0F1-0AFD-48F5-BBAB-BA7C7276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47628"/>
          <a:ext cx="1019174" cy="4050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403680</xdr:colOff>
      <xdr:row>0</xdr:row>
      <xdr:rowOff>8167</xdr:rowOff>
    </xdr:from>
    <xdr:ext cx="1019174" cy="405020"/>
    <xdr:pic>
      <xdr:nvPicPr>
        <xdr:cNvPr id="2" name="Picture 1">
          <a:extLst>
            <a:ext uri="{FF2B5EF4-FFF2-40B4-BE49-F238E27FC236}">
              <a16:creationId xmlns:a16="http://schemas.microsoft.com/office/drawing/2014/main" id="{0E2CF747-7D36-440B-AF8E-4CF245AE9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80" y="8167"/>
          <a:ext cx="1019174" cy="40502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ORMULARE_CZ\x-R%20kar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-R"/>
      <sheetName val="Kontrola výpočtů"/>
      <sheetName val="xxx"/>
      <sheetName val="druhá strana"/>
      <sheetName val="Modul1"/>
      <sheetName val="Dialog1"/>
      <sheetName val="Dialog3"/>
      <sheetName val="Dialog2"/>
      <sheetName val="x-R karta"/>
      <sheetName val="Kontrola_výpočtů"/>
      <sheetName val="druhá_strana"/>
      <sheetName val="x-R_karta"/>
      <sheetName val="Kontrola_výpočtů1"/>
      <sheetName val="druhá_strana1"/>
      <sheetName val="x-R_karta1"/>
      <sheetName val="4"/>
    </sheetNames>
    <definedNames>
      <definedName name="tisk"/>
      <definedName name="tisk_druhé_stran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louk, Soufiane" refreshedDate="45700.377402314814" createdVersion="8" refreshedVersion="8" minRefreshableVersion="3" recordCount="419" xr:uid="{717EA61B-EC76-4E60-8CF5-0CC814DCF457}">
  <cacheSource type="worksheet">
    <worksheetSource ref="A5:N232" sheet="Recording"/>
  </cacheSource>
  <cacheFields count="14">
    <cacheField name="Date " numFmtId="0">
      <sharedItems containsNonDate="0" containsDate="1" containsString="0" containsBlank="1" minDate="2025-02-03T00:00:00" maxDate="2025-02-20T00:00:00"/>
    </cacheField>
    <cacheField name="Semaine" numFmtId="0">
      <sharedItems containsSemiMixedTypes="0" containsString="0" containsNumber="1" containsInteger="1" minValue="0" maxValue="225" count="226">
        <n v="6"/>
        <n v="7"/>
        <n v="8"/>
        <n v="0"/>
        <n v="1" u="1"/>
        <n v="2" u="1"/>
        <n v="3" u="1"/>
        <n v="4" u="1"/>
        <n v="5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203" u="1"/>
        <n v="204" u="1"/>
        <n v="205" u="1"/>
        <n v="206" u="1"/>
        <n v="207" u="1"/>
        <n v="208" u="1"/>
        <n v="209" u="1"/>
        <n v="210" u="1"/>
        <n v="211" u="1"/>
        <n v="212" u="1"/>
        <n v="213" u="1"/>
        <n v="214" u="1"/>
        <n v="215" u="1"/>
        <n v="216" u="1"/>
        <n v="217" u="1"/>
        <n v="218" u="1"/>
        <n v="219" u="1"/>
        <n v="220" u="1"/>
        <n v="221" u="1"/>
        <n v="222" u="1"/>
        <n v="223" u="1"/>
        <n v="224" u="1"/>
        <n v="225" u="1"/>
      </sharedItems>
    </cacheField>
    <cacheField name="Mois" numFmtId="0">
      <sharedItems containsSemiMixedTypes="0" containsString="0" containsNumber="1" containsInteger="1" minValue="1" maxValue="5" count="5">
        <n v="2"/>
        <n v="1"/>
        <n v="3" u="1"/>
        <n v="4" u="1"/>
        <n v="5" u="1"/>
      </sharedItems>
    </cacheField>
    <cacheField name="Shift" numFmtId="0">
      <sharedItems containsBlank="1"/>
    </cacheField>
    <cacheField name="PROJET" numFmtId="0">
      <sharedItems containsBlank="1" count="5">
        <s v="CCAO"/>
        <s v="TB"/>
        <s v="RESOLVERS"/>
        <m/>
        <s v="TERMINAL_BLOC" u="1"/>
      </sharedItems>
    </cacheField>
    <cacheField name="Machine" numFmtId="0">
      <sharedItems containsBlank="1" count="70">
        <s v="Applicateur"/>
        <s v="EcoCut"/>
        <s v="Ultrasonic 1"/>
        <s v="Machine de sertissage"/>
        <s v="Machine de dénudage"/>
        <s v="Test"/>
        <s v="HR Connector assembly "/>
        <s v="BAM"/>
        <s v="ZS6"/>
        <s v="BAZ1"/>
        <s v="SNK 5"/>
        <s v="G-PRESS de Sertissage 3 TE"/>
        <s v="G-PRESS de Sertissage 2 TE"/>
        <s v="Laser Marking System "/>
        <s v="Winding Machine Stator K11666"/>
        <s v="ZS4"/>
        <s v="Komax Gamma"/>
        <s v="Press Manuel"/>
        <s v="Ensacheuse Automatique "/>
        <s v="ZK2.5"/>
        <s v="G-PRESS de Sertissage 4-AMP"/>
        <s v="Denudeuse"/>
        <s v="RC "/>
        <s v="Komax Alpha"/>
        <s v="HR Dénudeuse 4 fils"/>
        <s v="HR Gpress StripCrimp"/>
        <s v="Ultrasonic 4"/>
        <s v="M4/6"/>
        <s v="Test 2 : MARTA 4-1"/>
        <s v="SNK 2"/>
        <s v="Winding Machine Rotor K06677"/>
        <m/>
        <s v="SNK 6"/>
        <s v="Cutting Rail Automatique"/>
        <s v="Alpha Jet Noir "/>
        <s v="G-Press"/>
        <s v="BOY 3"/>
        <s v="Power Strip 1 "/>
        <s v="Test 2 : MARTA 2-2"/>
        <s v="G-PRESS de Sertissage 1 TE"/>
        <s v="BOY 5"/>
        <s v="Power Strip 2"/>
        <s v="Scemi" u="1"/>
        <s v="PAD PRINTING 1" u="1"/>
        <s v="Multitester " u="1"/>
        <s v="Tableau de séparation" u="1"/>
        <s v="MA2.5" u="1"/>
        <s v="BALTEC" u="1"/>
        <s v="Test 3 : MARTA 5-1" u="1"/>
        <s v="Winding Machine Stator K06676" u="1"/>
        <s v="Winding Machine Stator K10519" u="1"/>
        <s v="Winding Machine Stator K11866" u="1"/>
        <s v="Ultrasonic 3" u="1"/>
        <s v="Ultrasonic 2" u="1"/>
        <s v="Servo" u="1"/>
        <s v="Four Metalorigor 2" u="1"/>
        <s v="Test 4 : MARTA 5-2" u="1"/>
        <s v="Komax Zeta" u="1"/>
        <s v="LR Dénudeuse 4 fils " u="1"/>
        <s v="BOY 1" u="1"/>
        <s v="Tour d'Usinage " u="1"/>
        <s v="Machine d'Etamage" u="1"/>
        <s v="Laser" u="1"/>
        <s v="telegartner" u="1"/>
        <s v="Sertissage des Broches " u="1"/>
        <s v="FOUR PMT" u="1"/>
        <s v="Ultrasonic 5" u="1"/>
        <s v="Winding Machine Rotor K05522" u="1"/>
        <s v="Winding Machine Rotor K10520" u="1"/>
        <s v="Laser Welding HAAS " u="1"/>
      </sharedItems>
    </cacheField>
    <cacheField name="Outil _x000a_(Applicateur, Test, Tableau, Press manuelle)" numFmtId="0">
      <sharedItems containsBlank="1"/>
    </cacheField>
    <cacheField name="Type d'intervention" numFmtId="0">
      <sharedItems containsBlank="1"/>
    </cacheField>
    <cacheField name="Intervenant" numFmtId="0">
      <sharedItems containsBlank="1"/>
    </cacheField>
    <cacheField name="Durée de l'Arrêt_x000a_(min)" numFmtId="0">
      <sharedItems containsString="0" containsBlank="1" containsNumber="1" containsInteger="1" minValue="10" maxValue="460"/>
    </cacheField>
    <cacheField name="Problème" numFmtId="0">
      <sharedItems containsBlank="1"/>
    </cacheField>
    <cacheField name="Détails de l'intervention" numFmtId="0">
      <sharedItems containsBlank="1"/>
    </cacheField>
    <cacheField name="Status Intervention" numFmtId="0">
      <sharedItems containsBlank="1"/>
    </cacheField>
    <cacheField name="Risque de Sécurité (après l'intervention Maintenance)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d v="2025-02-03T00:00:00"/>
    <x v="0"/>
    <x v="0"/>
    <s v="Mohamed BENDAOUD"/>
    <x v="0"/>
    <x v="0"/>
    <s v="SIEMENS"/>
    <s v="SETUP APPLICATEUR"/>
    <s v="LARHIOUCH RACHID"/>
    <n v="50"/>
    <s v="pb applicateur"/>
    <s v="reglage mecanique"/>
    <s v="Terminer"/>
    <s v="RAS"/>
  </r>
  <r>
    <d v="2025-02-03T00:00:00"/>
    <x v="0"/>
    <x v="0"/>
    <s v="Mohamed BENDAOUD"/>
    <x v="0"/>
    <x v="0"/>
    <s v="OEM"/>
    <s v="SETUP APPLICATEUR"/>
    <s v="LARHIOUCH RACHID"/>
    <n v="50"/>
    <s v="pb applicateurs"/>
    <s v="Ajustement d'avance et reglage mecanique"/>
    <s v="Terminer"/>
    <s v="RAS"/>
  </r>
  <r>
    <d v="2025-02-03T00:00:00"/>
    <x v="0"/>
    <x v="0"/>
    <s v="Mohamed BENDAOUD"/>
    <x v="0"/>
    <x v="1"/>
    <m/>
    <s v="ELECTRIQUE"/>
    <s v="LARHIOUCH RACHID"/>
    <n v="200"/>
    <s v="pb detecteur et blocage"/>
    <s v="reglage detecteiur et nettyage"/>
    <s v="Terminer"/>
    <s v="RAS"/>
  </r>
  <r>
    <d v="2025-02-03T00:00:00"/>
    <x v="0"/>
    <x v="0"/>
    <s v="Mohamed BENDAOUD"/>
    <x v="0"/>
    <x v="2"/>
    <m/>
    <s v="MECANIQUE"/>
    <s v="LARHIOUCH RACHID"/>
    <n v="35"/>
    <s v="pb soudage"/>
    <s v="ajustement des pieces de soudage"/>
    <s v="Terminer"/>
    <s v="RAS"/>
  </r>
  <r>
    <d v="2025-02-03T00:00:00"/>
    <x v="0"/>
    <x v="0"/>
    <s v="Mohamed BENDAOUD"/>
    <x v="0"/>
    <x v="3"/>
    <m/>
    <s v="MECANIQUE"/>
    <s v="Smail EL MOHAMADI"/>
    <n v="20"/>
    <s v="pb applicateur"/>
    <s v="reglage mecanique"/>
    <s v="Terminer"/>
    <s v="RAS"/>
  </r>
  <r>
    <d v="2025-02-03T00:00:00"/>
    <x v="0"/>
    <x v="0"/>
    <s v="Mohamed BENDAOUD"/>
    <x v="0"/>
    <x v="4"/>
    <m/>
    <s v="MECANIQUE"/>
    <s v="ZOUBAIR LAMRABAT"/>
    <n v="30"/>
    <s v="denudage NOK"/>
    <s v="reglage de palpeur et montage de rossort d'ammortissement"/>
    <s v="Terminer"/>
    <s v="RAS"/>
  </r>
  <r>
    <d v="2025-02-03T00:00:00"/>
    <x v="0"/>
    <x v="0"/>
    <s v="Mohamed BENDAOUD"/>
    <x v="0"/>
    <x v="5"/>
    <m/>
    <s v="ELECTRIQUE"/>
    <s v="LARHIOUCH RACHID"/>
    <n v="30"/>
    <s v="pb contre piece"/>
    <s v="chnagement d'alimentation 24 dans la carte et reglage de pin detection"/>
    <s v="Terminer"/>
    <s v="RAS"/>
  </r>
  <r>
    <d v="2025-02-03T00:00:00"/>
    <x v="0"/>
    <x v="0"/>
    <s v="Mohamed BENDAOUD"/>
    <x v="0"/>
    <x v="5"/>
    <m/>
    <s v="MECANIQUE"/>
    <s v="ZOUBAIR LAMRABAT"/>
    <n v="50"/>
    <s v="pb contre piece"/>
    <s v="raglege de contre piece"/>
    <s v="Terminer"/>
    <s v="RAS"/>
  </r>
  <r>
    <d v="2025-02-03T00:00:00"/>
    <x v="0"/>
    <x v="0"/>
    <s v="Mohamed BENDAOUD"/>
    <x v="0"/>
    <x v="6"/>
    <s v="presse de scoba"/>
    <s v="MECANIQUE"/>
    <s v="LARHIOUCH RACHID"/>
    <n v="35"/>
    <s v="pb pin casse"/>
    <s v="changement de pin casse presse scoba"/>
    <s v="Terminer"/>
    <s v="RAS"/>
  </r>
  <r>
    <d v="2025-02-03T00:00:00"/>
    <x v="0"/>
    <x v="0"/>
    <s v="Mohamed BENDAOUD"/>
    <x v="0"/>
    <x v="3"/>
    <s v="2266058-2"/>
    <s v="MECANIQUE"/>
    <s v="BEN DAOUD MOHAMED"/>
    <n v="30"/>
    <s v="pb applicateur"/>
    <s v="reglage d'avance et des griffes"/>
    <s v="Terminer"/>
    <s v="RAS"/>
  </r>
  <r>
    <d v="2025-02-03T00:00:00"/>
    <x v="0"/>
    <x v="0"/>
    <s v="Mohamed BENDAOUD"/>
    <x v="1"/>
    <x v="7"/>
    <m/>
    <s v="MECANIQUE"/>
    <s v="ZOUBAIR LAMRABAT"/>
    <n v="40"/>
    <s v="cassement de support de fibre"/>
    <s v="changement de support casse"/>
    <s v="Terminer"/>
    <s v="RAS"/>
  </r>
  <r>
    <d v="2025-02-03T00:00:00"/>
    <x v="0"/>
    <x v="0"/>
    <s v="Mohamed BENDAOUD"/>
    <x v="1"/>
    <x v="8"/>
    <m/>
    <s v="ELECTRIQUE"/>
    <s v="ZOUBAIR LAMRABAT"/>
    <n v="120"/>
    <s v="blockage de serre fil"/>
    <s v="reglage mecanique et inverssement de detecteur"/>
    <s v="Terminer"/>
    <s v="RAS"/>
  </r>
  <r>
    <d v="2025-02-03T00:00:00"/>
    <x v="0"/>
    <x v="0"/>
    <s v="Mohamed BENDAOUD"/>
    <x v="1"/>
    <x v="9"/>
    <m/>
    <s v="MECANIQUE"/>
    <s v="BEN DAOUD MOHAMED"/>
    <n v="25"/>
    <s v="detection de pied"/>
    <s v="reglage de support de raill et detecteur"/>
    <s v="Terminer"/>
    <s v="RAS"/>
  </r>
  <r>
    <d v="2025-02-03T00:00:00"/>
    <x v="0"/>
    <x v="0"/>
    <s v="Mohamed BENDAOUD"/>
    <x v="1"/>
    <x v="10"/>
    <m/>
    <s v="MECANIQUE"/>
    <s v="ZOUBAIR LAMRABAT"/>
    <n v="35"/>
    <s v="Probleme de separateur"/>
    <s v="reglage mecanique et electrique"/>
    <s v="Terminer"/>
    <s v="RAS"/>
  </r>
  <r>
    <d v="2025-02-03T00:00:00"/>
    <x v="0"/>
    <x v="0"/>
    <s v="Mohamed BENDAOUD"/>
    <x v="1"/>
    <x v="10"/>
    <m/>
    <s v="MECANIQUE"/>
    <s v="Smail EL MOHAMADI"/>
    <n v="30"/>
    <s v="Probleme de separateur"/>
    <s v="reglage mecanique et fixation de verin separateur"/>
    <s v="Terminer"/>
    <s v="RAS"/>
  </r>
  <r>
    <d v="2025-02-03T00:00:00"/>
    <x v="0"/>
    <x v="0"/>
    <s v="Mohamed BENDAOUD"/>
    <x v="2"/>
    <x v="11"/>
    <m/>
    <s v="MECANIQUE"/>
    <s v="LARHIOUCH RACHID"/>
    <n v="30"/>
    <s v="degradation de porte de securitee"/>
    <s v="ajustement de la port et reglage de pixiglasse"/>
    <s v="Terminer"/>
    <s v="RAS"/>
  </r>
  <r>
    <d v="2025-02-03T00:00:00"/>
    <x v="0"/>
    <x v="0"/>
    <s v="Mohamed BENDAOUD"/>
    <x v="2"/>
    <x v="12"/>
    <m/>
    <s v="MECANIQUE"/>
    <s v="Smail EL MOHAMADI"/>
    <n v="40"/>
    <s v="changement d'aplicateur"/>
    <s v="changement de modification fait au applicateur et ajustement"/>
    <s v="Terminer"/>
    <s v="RAS"/>
  </r>
  <r>
    <d v="2025-02-03T00:00:00"/>
    <x v="0"/>
    <x v="0"/>
    <s v="Mohamed BENDAOUD"/>
    <x v="2"/>
    <x v="13"/>
    <m/>
    <s v="ELECTRIQUE"/>
    <s v="Smail EL MOHAMADI"/>
    <n v="20"/>
    <s v="Pb camera "/>
    <s v="reamement et demmarage"/>
    <s v="Terminer"/>
    <s v="RAS"/>
  </r>
  <r>
    <d v="2025-02-03T00:00:00"/>
    <x v="0"/>
    <x v="0"/>
    <s v="Mohamed BENDAOUD"/>
    <x v="2"/>
    <x v="14"/>
    <m/>
    <s v="MECANIQUE"/>
    <s v="Smail EL MOHAMADI"/>
    <n v="30"/>
    <s v="Pb bobonage NOK"/>
    <s v="suivi de machine et reglage d'aiguille"/>
    <s v="Terminer"/>
    <s v="RAS"/>
  </r>
  <r>
    <d v="2025-02-04T00:00:00"/>
    <x v="0"/>
    <x v="0"/>
    <s v="Mohamed BENDAOUD"/>
    <x v="1"/>
    <x v="15"/>
    <m/>
    <s v="ELECTRIQUE"/>
    <s v="ZOUBAIR LAMRABAT"/>
    <n v="30"/>
    <s v="Probleme de poste 9 et 3"/>
    <s v="Reglage + Ajustement position de detecteur + Ajustement position des connecteurs  "/>
    <s v="Terminer"/>
    <s v="RAS"/>
  </r>
  <r>
    <d v="2025-02-04T00:00:00"/>
    <x v="0"/>
    <x v="0"/>
    <s v="Mohamed BENDAOUD"/>
    <x v="0"/>
    <x v="16"/>
    <m/>
    <s v="MECANIQUE"/>
    <s v="LARHIOUCH RACHID"/>
    <n v="150"/>
    <s v="sertissage NOK"/>
    <s v="ajustage position de terminnal"/>
    <s v="Terminer"/>
    <s v="RAS"/>
  </r>
  <r>
    <d v="2025-02-04T00:00:00"/>
    <x v="0"/>
    <x v="0"/>
    <s v="Mohamed BENDAOUD"/>
    <x v="2"/>
    <x v="12"/>
    <m/>
    <s v="MECANIQUE"/>
    <s v="BEN DAOUD MOHAMED"/>
    <n v="20"/>
    <s v="changement d'aplicateur"/>
    <s v="changement d'aplicateur + ajustage denudage et sertissage"/>
    <s v="Terminer"/>
    <s v="RAS"/>
  </r>
  <r>
    <d v="2025-02-04T00:00:00"/>
    <x v="0"/>
    <x v="0"/>
    <s v="Mohamed BENDAOUD"/>
    <x v="2"/>
    <x v="14"/>
    <m/>
    <s v="MECANIQUE"/>
    <s v="Smail EL MOHAMADI"/>
    <n v="20"/>
    <s v="Pb bobonage NOK"/>
    <s v="ajustage position d'aiguille "/>
    <s v="Terminer"/>
    <s v="RAS"/>
  </r>
  <r>
    <d v="2025-02-04T00:00:00"/>
    <x v="0"/>
    <x v="0"/>
    <s v="Mohamed BENDAOUD"/>
    <x v="2"/>
    <x v="11"/>
    <m/>
    <s v="MECANIQUE"/>
    <s v="Smail EL MOHAMADI"/>
    <n v="35"/>
    <s v="changement d'aplicateur"/>
    <s v="changement d'aplicateur + ajustage denudage et sertissage"/>
    <s v="Terminer"/>
    <s v="RAS"/>
  </r>
  <r>
    <d v="2025-02-04T00:00:00"/>
    <x v="0"/>
    <x v="0"/>
    <s v="Mohamed BENDAOUD"/>
    <x v="1"/>
    <x v="17"/>
    <m/>
    <s v="MECANIQUE"/>
    <s v="ZOUBAIR LAMRABAT"/>
    <n v="25"/>
    <m/>
    <s v="Repparation 3 press manuels"/>
    <s v="Terminer"/>
    <s v="RAS"/>
  </r>
  <r>
    <d v="2025-02-04T00:00:00"/>
    <x v="0"/>
    <x v="0"/>
    <s v="Mohamed BENDAOUD"/>
    <x v="0"/>
    <x v="16"/>
    <m/>
    <s v="MECANIQUE"/>
    <s v="LARHIOUCH RACHID"/>
    <n v="30"/>
    <s v="sertissage NOK"/>
    <s v="Ajustement de lavance de applicateur"/>
    <s v="Terminer"/>
    <s v="RAS"/>
  </r>
  <r>
    <d v="2025-02-04T00:00:00"/>
    <x v="0"/>
    <x v="0"/>
    <s v="Mohamed BENDAOUD"/>
    <x v="0"/>
    <x v="6"/>
    <s v="presse scoba"/>
    <s v="MECANIQUE"/>
    <s v="BEN DAOUD MOHAMED"/>
    <n v="20"/>
    <s v="changement les pines"/>
    <s v="changement 2 pine casse"/>
    <s v="Terminer"/>
    <s v="RAS"/>
  </r>
  <r>
    <d v="2025-02-04T00:00:00"/>
    <x v="0"/>
    <x v="0"/>
    <s v="Mohamed BENDAOUD"/>
    <x v="1"/>
    <x v="10"/>
    <m/>
    <s v="MECANIQUE"/>
    <s v="ZOUBAIR LAMRABAT"/>
    <n v="30"/>
    <m/>
    <s v="Reglage la machine + Ajustement"/>
    <s v="Terminer"/>
    <s v="RAS"/>
  </r>
  <r>
    <d v="2025-02-04T00:00:00"/>
    <x v="0"/>
    <x v="0"/>
    <s v="Mohamed BENDAOUD"/>
    <x v="1"/>
    <x v="10"/>
    <m/>
    <s v="MECANIQUE"/>
    <s v="BEN DAOUD MOHAMED"/>
    <n v="220"/>
    <s v="Panne electrique"/>
    <s v="Changement fin de course de porte securité + Cablage a nouveau"/>
    <s v="Terminer"/>
    <s v="RAS"/>
  </r>
  <r>
    <d v="2025-02-04T00:00:00"/>
    <x v="0"/>
    <x v="0"/>
    <s v="Mohamed BENDAOUD"/>
    <x v="1"/>
    <x v="7"/>
    <m/>
    <s v="MECANIQUE"/>
    <s v="ZOUBAIR LAMRABAT"/>
    <n v="50"/>
    <s v="Pb de position bas"/>
    <s v="Réglage de position de la chaine de la machine"/>
    <s v="Terminer"/>
    <s v="RAS"/>
  </r>
  <r>
    <d v="2025-02-05T00:00:00"/>
    <x v="0"/>
    <x v="0"/>
    <s v="Mohamed BENDAOUD"/>
    <x v="1"/>
    <x v="18"/>
    <m/>
    <s v="MECANIQUE"/>
    <s v="ZOUBAIR LAMRABAT"/>
    <n v="35"/>
    <s v="Pb marquage"/>
    <s v="Réglage position de tete"/>
    <s v="Terminer"/>
    <s v="RAS"/>
  </r>
  <r>
    <d v="2025-02-05T00:00:00"/>
    <x v="0"/>
    <x v="0"/>
    <s v="Mohamed BENDAOUD"/>
    <x v="1"/>
    <x v="10"/>
    <m/>
    <s v="MECANIQUE"/>
    <s v="Smail EL MOHAMADI"/>
    <n v="50"/>
    <s v="Panne machine"/>
    <s v="Réglage de la machine"/>
    <s v="Terminer"/>
    <s v="RAS"/>
  </r>
  <r>
    <d v="2025-02-05T00:00:00"/>
    <x v="0"/>
    <x v="0"/>
    <s v="Mohamed BENDAOUD"/>
    <x v="1"/>
    <x v="19"/>
    <m/>
    <s v="ELECTRIQUE"/>
    <s v="BEN DAOUD MOHAMED"/>
    <n v="10"/>
    <s v="Panne machine"/>
    <s v="Rearement de la machine"/>
    <s v="Terminer"/>
    <s v="RAS"/>
  </r>
  <r>
    <d v="2025-02-05T00:00:00"/>
    <x v="0"/>
    <x v="0"/>
    <s v="Mohamed BENDAOUD"/>
    <x v="1"/>
    <x v="18"/>
    <m/>
    <s v="MECANIQUE"/>
    <s v="ZOUBAIR LAMRABAT"/>
    <n v="30"/>
    <s v="Probleme de soudage"/>
    <s v="Réglage de l'ensacheuse"/>
    <s v="Terminer"/>
    <s v="RAS"/>
  </r>
  <r>
    <d v="2025-02-05T00:00:00"/>
    <x v="0"/>
    <x v="0"/>
    <s v="Mohamed BENDAOUD"/>
    <x v="2"/>
    <x v="12"/>
    <m/>
    <s v="MECANIQUE"/>
    <s v="Smail EL MOHAMADI"/>
    <n v="15"/>
    <s v="changement d'aplicateur"/>
    <s v="changement d'aplicateur + ajustage denudage et sertissage"/>
    <s v="Terminer"/>
    <s v="RAS"/>
  </r>
  <r>
    <d v="2025-02-05T00:00:00"/>
    <x v="0"/>
    <x v="0"/>
    <s v="Mohamed BENDAOUD"/>
    <x v="2"/>
    <x v="11"/>
    <m/>
    <s v="MECANIQUE"/>
    <s v="Smail EL MOHAMADI"/>
    <n v="20"/>
    <s v="sertissage NOK"/>
    <s v="ajustage position de terminnal"/>
    <s v="Terminer"/>
    <s v="RAS"/>
  </r>
  <r>
    <d v="2025-02-05T00:00:00"/>
    <x v="0"/>
    <x v="0"/>
    <s v="Mohamed BENDAOUD"/>
    <x v="2"/>
    <x v="20"/>
    <m/>
    <s v="MECANIQUE"/>
    <s v="Smail EL MOHAMADI"/>
    <n v="25"/>
    <s v="Pb capteur de file "/>
    <s v="reglage palpeur de capteur de file "/>
    <s v="Terminer"/>
    <s v="RAS"/>
  </r>
  <r>
    <d v="2025-02-05T00:00:00"/>
    <x v="0"/>
    <x v="0"/>
    <s v="Mohamed BENDAOUD"/>
    <x v="2"/>
    <x v="14"/>
    <m/>
    <s v="MECANIQUE"/>
    <s v="Smail EL MOHAMADI"/>
    <n v="20"/>
    <s v="Pb bobonage NOK"/>
    <s v="change et ajustage position d'aiguille "/>
    <s v="Terminer"/>
    <s v="RAS"/>
  </r>
  <r>
    <d v="2025-02-05T00:00:00"/>
    <x v="0"/>
    <x v="0"/>
    <s v="Mohamed BENDAOUD"/>
    <x v="0"/>
    <x v="21"/>
    <s v="HR"/>
    <s v="MECANIQUE"/>
    <s v="LARHIOUCH RACHID"/>
    <n v="40"/>
    <s v="Pb capteur de file "/>
    <s v="reglage palpeur de capteur de file "/>
    <s v="Terminer"/>
    <s v="RAS"/>
  </r>
  <r>
    <d v="2025-02-05T00:00:00"/>
    <x v="0"/>
    <x v="0"/>
    <s v="Mohamed BENDAOUD"/>
    <x v="2"/>
    <x v="14"/>
    <m/>
    <s v="MECANIQUE"/>
    <s v="Smail EL MOHAMADI"/>
    <n v="35"/>
    <s v="Pb bobonage NOK"/>
    <s v="change et ajustage position d'aiguille "/>
    <s v="Terminer"/>
    <s v="RAS"/>
  </r>
  <r>
    <d v="2025-02-05T00:00:00"/>
    <x v="0"/>
    <x v="0"/>
    <s v="Mohamed BENDAOUD"/>
    <x v="1"/>
    <x v="22"/>
    <m/>
    <s v="MECANIQUE"/>
    <s v="LARHIOUCH RACHID"/>
    <n v="35"/>
    <s v="Pb decalage"/>
    <s v="Réglage position de table"/>
    <s v="Terminer"/>
    <s v="RAS"/>
  </r>
  <r>
    <d v="2025-02-06T00:00:00"/>
    <x v="0"/>
    <x v="0"/>
    <s v="Mohamed BENDAOUD"/>
    <x v="0"/>
    <x v="16"/>
    <s v="2266450-2"/>
    <s v="MECANIQUE"/>
    <s v="BEN DAOUD MOHAMED"/>
    <n v="40"/>
    <s v="pb applicateur"/>
    <s v="ajustement mecanique"/>
    <s v="Terminer"/>
    <s v="RAS"/>
  </r>
  <r>
    <d v="2025-02-06T00:00:00"/>
    <x v="0"/>
    <x v="0"/>
    <s v="Mohamed BENDAOUD"/>
    <x v="0"/>
    <x v="23"/>
    <m/>
    <s v="PARAMETRES"/>
    <s v="BEN DAOUD MOHAMED"/>
    <n v="35"/>
    <s v="pb denedage"/>
    <s v="reglage de parametre"/>
    <s v="Terminer"/>
    <s v="RAS"/>
  </r>
  <r>
    <d v="2025-02-06T00:00:00"/>
    <x v="0"/>
    <x v="0"/>
    <s v="Mohamed BENDAOUD"/>
    <x v="0"/>
    <x v="5"/>
    <s v="contrôle"/>
    <s v="ELECTRIQUE"/>
    <s v="LAHOUCINE LMBARKI"/>
    <n v="60"/>
    <s v="pb pin "/>
    <s v="changement pin et reglage contre piece"/>
    <s v="Terminer"/>
    <s v="RAS"/>
  </r>
  <r>
    <d v="2025-02-06T00:00:00"/>
    <x v="0"/>
    <x v="0"/>
    <s v="Mohamed BENDAOUD"/>
    <x v="0"/>
    <x v="5"/>
    <s v="SIEMENS"/>
    <s v="ELECTRIQUE"/>
    <s v="LAHOUCINE LMBARKI"/>
    <n v="35"/>
    <s v="pb adapteur"/>
    <s v="changement pin casse"/>
    <s v="Terminer"/>
    <s v="RAS"/>
  </r>
  <r>
    <d v="2025-02-06T00:00:00"/>
    <x v="0"/>
    <x v="0"/>
    <s v="Mohamed BENDAOUD"/>
    <x v="0"/>
    <x v="5"/>
    <s v="ligne8"/>
    <s v="ELECTRIQUE"/>
    <s v="BEN DAOUD MOHAMED"/>
    <n v="30"/>
    <s v="pb adapteur"/>
    <s v="reglage contre piece"/>
    <s v="Terminer"/>
    <s v="RAS"/>
  </r>
  <r>
    <d v="2025-02-06T00:00:00"/>
    <x v="0"/>
    <x v="0"/>
    <s v="Mohamed BENDAOUD"/>
    <x v="0"/>
    <x v="24"/>
    <m/>
    <s v="MECANIQUE"/>
    <s v="BEN DAOUD MOHAMED"/>
    <n v="40"/>
    <s v="pb denedage"/>
    <s v="ajustement mecanique et reglage machine"/>
    <s v="Terminer"/>
    <s v="RAS"/>
  </r>
  <r>
    <d v="2025-02-06T00:00:00"/>
    <x v="0"/>
    <x v="0"/>
    <s v="Mohamed BENDAOUD"/>
    <x v="0"/>
    <x v="25"/>
    <m/>
    <s v="PARAMETRES"/>
    <s v="BEN DAOUD MOHAMED"/>
    <n v="20"/>
    <s v="pb sertissage"/>
    <s v="reglage palpeur de capteur de file "/>
    <s v="Terminer"/>
    <s v="RAS"/>
  </r>
  <r>
    <d v="2025-02-06T00:00:00"/>
    <x v="0"/>
    <x v="0"/>
    <s v="Mohamed BENDAOUD"/>
    <x v="0"/>
    <x v="26"/>
    <m/>
    <s v="PARAMETRES"/>
    <s v="BEN DAOUD MOHAMED"/>
    <n v="25"/>
    <s v="pb soudage"/>
    <s v="reglage des pieces de soudage"/>
    <s v="Terminer"/>
    <s v="RAS"/>
  </r>
  <r>
    <d v="2025-02-06T00:00:00"/>
    <x v="0"/>
    <x v="0"/>
    <s v="Mohamed BENDAOUD"/>
    <x v="1"/>
    <x v="10"/>
    <m/>
    <s v="MECANIQUE"/>
    <s v="Smail EL MOHAMADI"/>
    <n v="40"/>
    <s v="pb convoyeur"/>
    <s v="reglage d'acoplement retatif"/>
    <s v="Terminer"/>
    <s v="RAS"/>
  </r>
  <r>
    <d v="2025-02-06T00:00:00"/>
    <x v="0"/>
    <x v="0"/>
    <s v="Mohamed BENDAOUD"/>
    <x v="1"/>
    <x v="7"/>
    <m/>
    <s v="MECANIQUE"/>
    <s v="ZOUBAIR LAMRABAT"/>
    <n v="260"/>
    <s v="pb posage et chaine"/>
    <s v="reglage de courois et synchronisation"/>
    <s v="Terminer"/>
    <s v="RAS"/>
  </r>
  <r>
    <d v="2025-02-06T00:00:00"/>
    <x v="0"/>
    <x v="0"/>
    <s v="Mohamed BENDAOUD"/>
    <x v="1"/>
    <x v="19"/>
    <m/>
    <s v="PNEUMATIQUE"/>
    <s v="ZOUBAIR LAMRABAT"/>
    <n v="35"/>
    <s v="pb insertion rossort"/>
    <s v="reglage de verin 214"/>
    <s v="Terminer"/>
    <s v="RAS"/>
  </r>
  <r>
    <d v="2025-02-06T00:00:00"/>
    <x v="0"/>
    <x v="0"/>
    <s v="Mohamed BENDAOUD"/>
    <x v="1"/>
    <x v="27"/>
    <m/>
    <s v="PNEUMATIQUE"/>
    <s v="ZOUBAIR LAMRABAT"/>
    <n v="30"/>
    <s v="pb poste 26"/>
    <s v="changement raccord et reglage de poste barrette"/>
    <s v="Terminer"/>
    <s v="RAS"/>
  </r>
  <r>
    <d v="2025-02-06T00:00:00"/>
    <x v="0"/>
    <x v="0"/>
    <s v="Mohamed BENDAOUD"/>
    <x v="1"/>
    <x v="17"/>
    <m/>
    <s v="MECANIQUE"/>
    <s v="ZOUBAIR LAMRABAT"/>
    <n v="25"/>
    <s v="pb insertion "/>
    <s v="reglage mecainque"/>
    <s v="Terminer"/>
    <s v="RAS"/>
  </r>
  <r>
    <d v="2025-02-06T00:00:00"/>
    <x v="0"/>
    <x v="0"/>
    <s v="Mohamed BENDAOUD"/>
    <x v="2"/>
    <x v="12"/>
    <m/>
    <s v="MECANIQUE"/>
    <s v="Smail EL MOHAMADI"/>
    <n v="60"/>
    <s v="pb detecteur denedage"/>
    <s v="reglage detecteur et ajustement mecanique"/>
    <s v="Terminer"/>
    <s v="RAS"/>
  </r>
  <r>
    <d v="2025-02-06T00:00:00"/>
    <x v="0"/>
    <x v="0"/>
    <s v="Mohamed BENDAOUD"/>
    <x v="2"/>
    <x v="28"/>
    <m/>
    <s v="ELECTRIQUE"/>
    <s v="Smail EL MOHAMADI"/>
    <n v="20"/>
    <s v="pb resistance"/>
    <s v="inversement de carte et reglage parametre"/>
    <s v="Terminer"/>
    <s v="RAS"/>
  </r>
  <r>
    <d v="2025-02-06T00:00:00"/>
    <x v="0"/>
    <x v="0"/>
    <s v="Mohamed BENDAOUD"/>
    <x v="1"/>
    <x v="29"/>
    <m/>
    <s v="MECANIQUE"/>
    <s v="BEN DAOUD MOHAMED"/>
    <n v="20"/>
    <s v="pb porte de securiter"/>
    <s v="reglage de switch de securiter"/>
    <s v="Terminer"/>
    <s v="RAS"/>
  </r>
  <r>
    <d v="2025-02-06T00:00:00"/>
    <x v="0"/>
    <x v="0"/>
    <s v="Mohamed BENDAOUD"/>
    <x v="1"/>
    <x v="10"/>
    <m/>
    <s v="MECANIQUE"/>
    <s v="ZOUBAIR LAMRABAT"/>
    <n v="40"/>
    <s v="pb convoyeur et separateur"/>
    <s v="synchronisation de chaine et rotatif"/>
    <s v="Terminer"/>
    <s v="RAS"/>
  </r>
  <r>
    <d v="2025-02-06T00:00:00"/>
    <x v="0"/>
    <x v="0"/>
    <s v="Mohamed BENDAOUD"/>
    <x v="2"/>
    <x v="30"/>
    <m/>
    <s v="MECANIQUE"/>
    <s v="Smail EL MOHAMADI"/>
    <n v="30"/>
    <s v="pb aiguille"/>
    <s v="ajustement mecanique et suivi"/>
    <s v="Terminer"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7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8T00:00:00"/>
    <x v="0"/>
    <x v="0"/>
    <s v="Mohamed BENDAOUD"/>
    <x v="3"/>
    <x v="31"/>
    <m/>
    <m/>
    <m/>
    <m/>
    <m/>
    <m/>
    <m/>
    <s v="RAS"/>
  </r>
  <r>
    <d v="2025-02-09T00:00:00"/>
    <x v="1"/>
    <x v="0"/>
    <s v="Mohamed BENDAOUD"/>
    <x v="1"/>
    <x v="7"/>
    <m/>
    <s v="MECANIQUE"/>
    <s v="BEN DAOUD MOHAMED"/>
    <m/>
    <s v="pb decalage de chaine"/>
    <s v="changement de motoreducteur et synchronisation de chaine par rapport au courois"/>
    <s v="Terminer"/>
    <s v="RAS"/>
  </r>
  <r>
    <d v="2025-02-10T00:00:00"/>
    <x v="1"/>
    <x v="0"/>
    <s v="Mohamed BENDAOUD"/>
    <x v="1"/>
    <x v="27"/>
    <m/>
    <s v="MECANIQUE"/>
    <s v="ZOUBAIR LAMRABAT"/>
    <n v="350"/>
    <m/>
    <m/>
    <m/>
    <s v="RAS"/>
  </r>
  <r>
    <d v="2025-02-10T00:00:00"/>
    <x v="1"/>
    <x v="0"/>
    <s v="Mohamed BENDAOUD"/>
    <x v="1"/>
    <x v="18"/>
    <m/>
    <s v="ELECTRIQUE"/>
    <s v="ZOUBAIR LAMRABAT"/>
    <n v="460"/>
    <m/>
    <m/>
    <m/>
    <s v="RAS"/>
  </r>
  <r>
    <d v="2025-02-10T00:00:00"/>
    <x v="1"/>
    <x v="0"/>
    <s v="Mohamed BENDAOUD"/>
    <x v="1"/>
    <x v="10"/>
    <m/>
    <s v="ELECTRIQUE"/>
    <s v="Smail EL MOHAMADI"/>
    <n v="40"/>
    <m/>
    <m/>
    <m/>
    <s v="RAS"/>
  </r>
  <r>
    <d v="2025-02-10T00:00:00"/>
    <x v="1"/>
    <x v="0"/>
    <s v="Mohamed BENDAOUD"/>
    <x v="1"/>
    <x v="32"/>
    <m/>
    <s v="MECANIQUE"/>
    <s v="BEN DAOUD MOHAMED"/>
    <n v="25"/>
    <m/>
    <m/>
    <m/>
    <s v="RAS"/>
  </r>
  <r>
    <d v="2025-02-10T00:00:00"/>
    <x v="1"/>
    <x v="0"/>
    <s v="Mohamed BENDAOUD"/>
    <x v="1"/>
    <x v="33"/>
    <m/>
    <s v="MECANIQUE"/>
    <s v="Smail EL MOHAMADI"/>
    <n v="30"/>
    <s v="cuting raill"/>
    <m/>
    <m/>
    <s v="RAS"/>
  </r>
  <r>
    <d v="2025-02-10T00:00:00"/>
    <x v="1"/>
    <x v="0"/>
    <s v="Mohamed BENDAOUD"/>
    <x v="1"/>
    <x v="17"/>
    <m/>
    <s v="MECANIQUE"/>
    <s v="LARHIOUCH RACHID"/>
    <n v="25"/>
    <m/>
    <m/>
    <m/>
    <s v="RAS"/>
  </r>
  <r>
    <d v="2025-02-10T00:00:00"/>
    <x v="1"/>
    <x v="0"/>
    <s v="Mohamed BENDAOUD"/>
    <x v="1"/>
    <x v="17"/>
    <m/>
    <s v="MECANIQUE"/>
    <s v="ANAS MOUHCINE"/>
    <n v="25"/>
    <m/>
    <m/>
    <m/>
    <s v="RAS"/>
  </r>
  <r>
    <d v="2025-02-10T00:00:00"/>
    <x v="1"/>
    <x v="0"/>
    <s v="Mohamed BENDAOUD"/>
    <x v="1"/>
    <x v="17"/>
    <m/>
    <s v="MECANIQUE"/>
    <s v="ZOUBAIR LAMRABAT"/>
    <n v="25"/>
    <m/>
    <m/>
    <m/>
    <s v="RAS"/>
  </r>
  <r>
    <d v="2025-02-10T00:00:00"/>
    <x v="1"/>
    <x v="0"/>
    <s v="Mohamed BENDAOUD"/>
    <x v="1"/>
    <x v="10"/>
    <m/>
    <s v="ELECTRIQUE"/>
    <s v="Smail EL MOHAMADI"/>
    <n v="20"/>
    <m/>
    <m/>
    <m/>
    <s v="RAS"/>
  </r>
  <r>
    <d v="2025-02-10T00:00:00"/>
    <x v="1"/>
    <x v="0"/>
    <s v="Mohamed BENDAOUD"/>
    <x v="0"/>
    <x v="34"/>
    <m/>
    <s v="HYDRAULIQUE"/>
    <s v="ANAS MOUHCINE"/>
    <n v="50"/>
    <m/>
    <m/>
    <m/>
    <s v="RAS"/>
  </r>
  <r>
    <d v="2025-02-10T00:00:00"/>
    <x v="1"/>
    <x v="0"/>
    <s v="Mohamed BENDAOUD"/>
    <x v="0"/>
    <x v="35"/>
    <m/>
    <s v="MECANIQUE"/>
    <s v="ANAS MOUHCINE"/>
    <n v="35"/>
    <m/>
    <m/>
    <m/>
    <s v="RAS"/>
  </r>
  <r>
    <d v="2025-02-10T00:00:00"/>
    <x v="1"/>
    <x v="0"/>
    <s v="Mohamed BENDAOUD"/>
    <x v="0"/>
    <x v="5"/>
    <m/>
    <s v="MECANIQUE"/>
    <s v="ANAS MOUHCINE"/>
    <n v="15"/>
    <s v="pb teste ligne 8"/>
    <m/>
    <m/>
    <s v="RAS"/>
  </r>
  <r>
    <d v="2025-02-10T00:00:00"/>
    <x v="1"/>
    <x v="0"/>
    <s v="Mohamed BENDAOUD"/>
    <x v="0"/>
    <x v="36"/>
    <m/>
    <s v="PNEUMATIQUE"/>
    <s v="ANAS MOUHCINE"/>
    <n v="40"/>
    <m/>
    <m/>
    <m/>
    <s v="RAS"/>
  </r>
  <r>
    <d v="2025-02-10T00:00:00"/>
    <x v="1"/>
    <x v="0"/>
    <s v="Mohamed BENDAOUD"/>
    <x v="2"/>
    <x v="12"/>
    <m/>
    <s v="MECANIQUE"/>
    <s v="ANAS MOUHCINE"/>
    <n v="35"/>
    <m/>
    <m/>
    <m/>
    <s v="RAS"/>
  </r>
  <r>
    <d v="2025-02-10T00:00:00"/>
    <x v="1"/>
    <x v="0"/>
    <s v="Mohamed BENDAOUD"/>
    <x v="0"/>
    <x v="16"/>
    <m/>
    <s v="MECANIQUE"/>
    <s v="ANAS MOUHCINE"/>
    <n v="25"/>
    <m/>
    <m/>
    <m/>
    <s v="RAS"/>
  </r>
  <r>
    <d v="2025-02-10T00:00:00"/>
    <x v="1"/>
    <x v="0"/>
    <s v="Mohamed BENDAOUD"/>
    <x v="0"/>
    <x v="37"/>
    <m/>
    <s v="ELECTRONIQUE"/>
    <s v="LARHIOUCH RACHID"/>
    <n v="30"/>
    <m/>
    <m/>
    <m/>
    <s v="RAS"/>
  </r>
  <r>
    <d v="2025-02-10T00:00:00"/>
    <x v="1"/>
    <x v="0"/>
    <s v="Mohamed BENDAOUD"/>
    <x v="0"/>
    <x v="21"/>
    <m/>
    <s v="ELECTRONIQUE"/>
    <s v="LARHIOUCH RACHID"/>
    <n v="35"/>
    <m/>
    <m/>
    <m/>
    <s v="RAS"/>
  </r>
  <r>
    <d v="2025-02-10T00:00:00"/>
    <x v="1"/>
    <x v="0"/>
    <s v="Mohamed BENDAOUD"/>
    <x v="0"/>
    <x v="24"/>
    <m/>
    <s v="PNEUMATIQUE"/>
    <s v="LARHIOUCH RACHID"/>
    <n v="30"/>
    <m/>
    <m/>
    <m/>
    <s v="RAS"/>
  </r>
  <r>
    <d v="2025-02-10T00:00:00"/>
    <x v="1"/>
    <x v="0"/>
    <s v="Mohamed BENDAOUD"/>
    <x v="0"/>
    <x v="35"/>
    <m/>
    <s v="MECANIQUE"/>
    <s v="LARHIOUCH RACHID"/>
    <n v="25"/>
    <m/>
    <m/>
    <m/>
    <s v="RAS"/>
  </r>
  <r>
    <d v="2025-02-10T00:00:00"/>
    <x v="1"/>
    <x v="0"/>
    <s v="Mohamed BENDAOUD"/>
    <x v="2"/>
    <x v="38"/>
    <m/>
    <m/>
    <m/>
    <m/>
    <m/>
    <m/>
    <m/>
    <s v="RAS"/>
  </r>
  <r>
    <d v="2025-02-10T00:00:00"/>
    <x v="1"/>
    <x v="0"/>
    <s v="Mohamed BENDAOUD"/>
    <x v="2"/>
    <x v="12"/>
    <m/>
    <m/>
    <m/>
    <m/>
    <m/>
    <m/>
    <m/>
    <s v="RAS"/>
  </r>
  <r>
    <d v="2025-02-10T00:00:00"/>
    <x v="1"/>
    <x v="0"/>
    <s v="Mohamed BENDAOUD"/>
    <x v="2"/>
    <x v="39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0T00:00:00"/>
    <x v="1"/>
    <x v="0"/>
    <s v="Mohamed BENDAOUD"/>
    <x v="2"/>
    <x v="31"/>
    <m/>
    <m/>
    <m/>
    <m/>
    <m/>
    <m/>
    <m/>
    <s v="RAS"/>
  </r>
  <r>
    <d v="2025-02-11T00:00:00"/>
    <x v="1"/>
    <x v="0"/>
    <s v="Mohamed BENDAOUD"/>
    <x v="0"/>
    <x v="40"/>
    <m/>
    <m/>
    <s v="BEN DAOUD MOHAMED"/>
    <n v="15"/>
    <m/>
    <m/>
    <m/>
    <s v="RAS"/>
  </r>
  <r>
    <d v="2025-02-11T00:00:00"/>
    <x v="1"/>
    <x v="0"/>
    <s v="Mohamed BENDAOUD"/>
    <x v="0"/>
    <x v="41"/>
    <m/>
    <m/>
    <s v="ANAS MOUHCINE"/>
    <n v="10"/>
    <m/>
    <m/>
    <m/>
    <s v="RAS"/>
  </r>
  <r>
    <d v="2025-02-11T00:00:00"/>
    <x v="1"/>
    <x v="0"/>
    <s v="Mohamed BENDAOUD"/>
    <x v="0"/>
    <x v="35"/>
    <m/>
    <m/>
    <s v="ANAS MOUHCINE"/>
    <n v="10"/>
    <m/>
    <m/>
    <m/>
    <s v="RAS"/>
  </r>
  <r>
    <d v="2025-02-11T00:00:00"/>
    <x v="1"/>
    <x v="0"/>
    <s v="Mohamed BENDAOUD"/>
    <x v="0"/>
    <x v="35"/>
    <m/>
    <m/>
    <s v="ANAS MOUHCINE"/>
    <n v="20"/>
    <m/>
    <m/>
    <m/>
    <s v="RAS"/>
  </r>
  <r>
    <d v="2025-02-11T00:00:00"/>
    <x v="1"/>
    <x v="0"/>
    <s v="Mohamed BENDAOUD"/>
    <x v="0"/>
    <x v="24"/>
    <m/>
    <m/>
    <s v="ANAS MOUHCINE"/>
    <n v="10"/>
    <m/>
    <m/>
    <m/>
    <s v="RAS"/>
  </r>
  <r>
    <d v="2025-02-11T00:00:00"/>
    <x v="1"/>
    <x v="0"/>
    <s v="Mohamed BENDAOUD"/>
    <x v="0"/>
    <x v="26"/>
    <m/>
    <m/>
    <s v="ANAS MOUHCINE"/>
    <n v="10"/>
    <m/>
    <m/>
    <m/>
    <s v="RAS"/>
  </r>
  <r>
    <d v="2025-02-11T00:00:00"/>
    <x v="1"/>
    <x v="0"/>
    <s v="Mohamed BENDAOUD"/>
    <x v="1"/>
    <x v="33"/>
    <m/>
    <m/>
    <s v="ANAS MOUHCINE"/>
    <n v="45"/>
    <m/>
    <m/>
    <m/>
    <s v="RAS"/>
  </r>
  <r>
    <d v="2025-02-11T00:00:00"/>
    <x v="1"/>
    <x v="0"/>
    <s v="Mohamed BENDAOUD"/>
    <x v="1"/>
    <x v="10"/>
    <m/>
    <m/>
    <s v="ZOUBAIR LAMRABAT"/>
    <n v="20"/>
    <m/>
    <m/>
    <m/>
    <s v="RAS"/>
  </r>
  <r>
    <d v="2025-02-11T00:00:00"/>
    <x v="1"/>
    <x v="0"/>
    <s v="Mohamed BENDAOUD"/>
    <x v="1"/>
    <x v="17"/>
    <m/>
    <m/>
    <s v="ANAS MOUHCINE"/>
    <n v="20"/>
    <m/>
    <m/>
    <m/>
    <s v="RAS"/>
  </r>
  <r>
    <d v="2025-02-11T00:00:00"/>
    <x v="1"/>
    <x v="0"/>
    <s v="Mohamed BENDAOUD"/>
    <x v="1"/>
    <x v="17"/>
    <m/>
    <m/>
    <s v="LARHIOUCH RACHID"/>
    <n v="25"/>
    <m/>
    <m/>
    <m/>
    <s v="RAS"/>
  </r>
  <r>
    <d v="2025-02-11T00:00:00"/>
    <x v="1"/>
    <x v="0"/>
    <s v="Mohamed BENDAOUD"/>
    <x v="2"/>
    <x v="39"/>
    <m/>
    <m/>
    <s v="Smail EL MOHAMADI"/>
    <n v="15"/>
    <m/>
    <m/>
    <m/>
    <s v="RAS"/>
  </r>
  <r>
    <d v="2025-02-11T00:00:00"/>
    <x v="1"/>
    <x v="0"/>
    <s v="Mohamed BENDAOUD"/>
    <x v="2"/>
    <x v="12"/>
    <m/>
    <m/>
    <s v="Smail EL MOHAMADI"/>
    <n v="20"/>
    <m/>
    <m/>
    <m/>
    <s v="RAS"/>
  </r>
  <r>
    <d v="2025-02-12T00:00:00"/>
    <x v="1"/>
    <x v="0"/>
    <s v="Mohamed BENDAOUD"/>
    <x v="0"/>
    <x v="5"/>
    <m/>
    <m/>
    <s v="LARHIOUCH RACHID"/>
    <n v="35"/>
    <m/>
    <m/>
    <m/>
    <s v="RAS"/>
  </r>
  <r>
    <d v="2025-02-13T00:00:00"/>
    <x v="1"/>
    <x v="0"/>
    <s v="Mohamed BENDAOUD"/>
    <x v="0"/>
    <x v="24"/>
    <m/>
    <m/>
    <s v="LARHIOUCH RACHID"/>
    <n v="25"/>
    <m/>
    <m/>
    <m/>
    <s v="RAS"/>
  </r>
  <r>
    <d v="2025-02-14T00:00:00"/>
    <x v="1"/>
    <x v="0"/>
    <s v="Mohamed BENDAOUD"/>
    <x v="0"/>
    <x v="35"/>
    <m/>
    <m/>
    <s v="LARHIOUCH RACHID"/>
    <n v="25"/>
    <m/>
    <m/>
    <m/>
    <s v="RAS"/>
  </r>
  <r>
    <d v="2025-02-15T00:00:00"/>
    <x v="1"/>
    <x v="0"/>
    <s v="Mohamed BENDAOUD"/>
    <x v="2"/>
    <x v="38"/>
    <m/>
    <m/>
    <s v="Smail EL MOHAMADI"/>
    <n v="30"/>
    <m/>
    <m/>
    <m/>
    <s v="RAS"/>
  </r>
  <r>
    <d v="2025-02-16T00:00:00"/>
    <x v="2"/>
    <x v="0"/>
    <s v="Mohamed BENDAOUD"/>
    <x v="1"/>
    <x v="7"/>
    <m/>
    <m/>
    <s v="BEN DAOUD MOHAMED"/>
    <n v="350"/>
    <m/>
    <m/>
    <m/>
    <s v="RAS"/>
  </r>
  <r>
    <d v="2025-02-17T00:00:00"/>
    <x v="2"/>
    <x v="0"/>
    <s v="Mohamed BENDAOUD"/>
    <x v="1"/>
    <x v="8"/>
    <m/>
    <m/>
    <s v="ZOUBAIR LAMRABAT"/>
    <n v="20"/>
    <m/>
    <m/>
    <m/>
    <s v="RAS"/>
  </r>
  <r>
    <d v="2025-02-18T00:00:00"/>
    <x v="2"/>
    <x v="0"/>
    <s v="Mohamed BENDAOUD"/>
    <x v="1"/>
    <x v="18"/>
    <m/>
    <m/>
    <s v="BEN DAOUD MOHAMED"/>
    <n v="40"/>
    <m/>
    <m/>
    <m/>
    <s v="RAS"/>
  </r>
  <r>
    <d v="2025-02-19T00:00:00"/>
    <x v="2"/>
    <x v="0"/>
    <s v="Mohamed BENDAOUD"/>
    <x v="1"/>
    <x v="27"/>
    <m/>
    <m/>
    <s v="ZOUBAIR LAMRABAT"/>
    <n v="300"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m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  <r>
    <m/>
    <x v="3"/>
    <x v="1"/>
    <m/>
    <x v="3"/>
    <x v="31"/>
    <m/>
    <m/>
    <m/>
    <m/>
    <s v="pb denedage"/>
    <m/>
    <m/>
    <s v="R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E559B-30D1-471F-A5DE-6E7BC7B732CA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B56" firstHeaderRow="1" firstDataRow="1" firstDataCol="1" rowPageCount="2" colPageCount="1"/>
  <pivotFields count="14">
    <pivotField showAll="0"/>
    <pivotField axis="axisPage" showAll="0">
      <items count="227">
        <item m="1" x="4"/>
        <item m="1" x="5"/>
        <item m="1" x="6"/>
        <item m="1" x="7"/>
        <item m="1" x="8"/>
        <item x="0"/>
        <item x="1"/>
        <item x="2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x="3"/>
        <item t="default"/>
      </items>
    </pivotField>
    <pivotField axis="axisPage" showAll="0">
      <items count="6">
        <item x="1"/>
        <item x="0"/>
        <item m="1" x="2"/>
        <item m="1" x="3"/>
        <item m="1" x="4"/>
        <item t="default"/>
      </items>
    </pivotField>
    <pivotField showAll="0"/>
    <pivotField showAll="0"/>
    <pivotField axis="axisRow" showAll="0" sortType="descending">
      <items count="71">
        <item x="34"/>
        <item x="0"/>
        <item m="1" x="47"/>
        <item x="7"/>
        <item x="9"/>
        <item m="1" x="59"/>
        <item x="36"/>
        <item x="40"/>
        <item m="1" x="55"/>
        <item m="1" x="65"/>
        <item x="11"/>
        <item x="6"/>
        <item x="24"/>
        <item x="25"/>
        <item x="23"/>
        <item x="16"/>
        <item m="1" x="57"/>
        <item m="1" x="62"/>
        <item x="13"/>
        <item m="1" x="69"/>
        <item m="1" x="58"/>
        <item x="27"/>
        <item m="1" x="46"/>
        <item x="4"/>
        <item x="3"/>
        <item m="1" x="61"/>
        <item m="1" x="43"/>
        <item x="37"/>
        <item x="41"/>
        <item x="17"/>
        <item m="1" x="64"/>
        <item m="1" x="54"/>
        <item x="10"/>
        <item m="1" x="45"/>
        <item m="1" x="63"/>
        <item x="5"/>
        <item m="1" x="48"/>
        <item m="1" x="56"/>
        <item m="1" x="60"/>
        <item x="2"/>
        <item m="1" x="53"/>
        <item m="1" x="52"/>
        <item m="1" x="66"/>
        <item m="1" x="67"/>
        <item m="1" x="68"/>
        <item m="1" x="49"/>
        <item m="1" x="50"/>
        <item x="14"/>
        <item m="1" x="51"/>
        <item x="19"/>
        <item x="15"/>
        <item x="8"/>
        <item x="31"/>
        <item m="1" x="42"/>
        <item m="1" x="44"/>
        <item x="21"/>
        <item x="26"/>
        <item x="1"/>
        <item x="12"/>
        <item x="18"/>
        <item x="20"/>
        <item x="22"/>
        <item x="28"/>
        <item x="29"/>
        <item x="30"/>
        <item x="32"/>
        <item x="33"/>
        <item x="35"/>
        <item x="38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43">
    <i>
      <x v="3"/>
    </i>
    <i>
      <x v="21"/>
    </i>
    <i>
      <x v="59"/>
    </i>
    <i>
      <x v="32"/>
    </i>
    <i>
      <x v="35"/>
    </i>
    <i>
      <x v="15"/>
    </i>
    <i>
      <x v="57"/>
    </i>
    <i>
      <x v="58"/>
    </i>
    <i>
      <x v="29"/>
    </i>
    <i>
      <x v="51"/>
    </i>
    <i>
      <x v="67"/>
    </i>
    <i>
      <x v="12"/>
    </i>
    <i>
      <x v="47"/>
    </i>
    <i>
      <x v="1"/>
    </i>
    <i>
      <x v="10"/>
    </i>
    <i>
      <x v="66"/>
    </i>
    <i>
      <x v="55"/>
    </i>
    <i>
      <x v="11"/>
    </i>
    <i>
      <x/>
    </i>
    <i>
      <x v="24"/>
    </i>
    <i>
      <x v="49"/>
    </i>
    <i>
      <x v="6"/>
    </i>
    <i>
      <x v="14"/>
    </i>
    <i>
      <x v="61"/>
    </i>
    <i>
      <x v="56"/>
    </i>
    <i>
      <x v="39"/>
    </i>
    <i>
      <x v="64"/>
    </i>
    <i>
      <x v="23"/>
    </i>
    <i>
      <x v="68"/>
    </i>
    <i>
      <x v="27"/>
    </i>
    <i>
      <x v="50"/>
    </i>
    <i>
      <x v="65"/>
    </i>
    <i>
      <x v="4"/>
    </i>
    <i>
      <x v="60"/>
    </i>
    <i>
      <x v="18"/>
    </i>
    <i>
      <x v="13"/>
    </i>
    <i>
      <x v="62"/>
    </i>
    <i>
      <x v="63"/>
    </i>
    <i>
      <x v="69"/>
    </i>
    <i>
      <x v="7"/>
    </i>
    <i>
      <x v="28"/>
    </i>
    <i>
      <x v="52"/>
    </i>
    <i t="grand">
      <x/>
    </i>
  </rowItems>
  <colItems count="1">
    <i/>
  </colItems>
  <pageFields count="2">
    <pageField fld="2" hier="-1"/>
    <pageField fld="1" hier="-1"/>
  </pageFields>
  <dataFields count="1">
    <dataField name="Sum of Durée de l'Arrêt_x000a_(min)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7B3FC-5F12-4086-8467-99886F47FB0F}" name="Table10" displayName="Table10" ref="A5:N232" totalsRowShown="0" headerRowDxfId="38" dataDxfId="36" headerRowBorderDxfId="37" tableBorderDxfId="35">
  <autoFilter ref="A5:N232" xr:uid="{E407B3FC-5F12-4086-8467-99886F47FB0F}"/>
  <tableColumns count="14">
    <tableColumn id="1" xr3:uid="{67B1A2BE-1C8F-4A5B-8D21-C4CFF368AACD}" name="Date " dataDxfId="34"/>
    <tableColumn id="2" xr3:uid="{F4126F8D-AEDB-42C8-8C6E-5202E6F737EF}" name="Semaine" dataDxfId="33"/>
    <tableColumn id="3" xr3:uid="{616196BA-0D1A-4ECA-92D7-BC33317943CD}" name="Mois" dataDxfId="32"/>
    <tableColumn id="4" xr3:uid="{4F941F42-34E3-4443-A3D8-56E0FA6BC2AA}" name="Shift" dataDxfId="31"/>
    <tableColumn id="5" xr3:uid="{B01BB1FA-FB20-4B46-8812-E37282547934}" name="PROJET" dataDxfId="30"/>
    <tableColumn id="6" xr3:uid="{F6914F02-7029-464C-9858-5B706F7F31DF}" name="Machine" dataDxfId="29"/>
    <tableColumn id="7" xr3:uid="{B0880136-3E01-4E6C-BCF1-F6FAB0B5ABE8}" name="Outil _x000a_(Applicateur, Test, Tableau, Press manuelle)" dataDxfId="28"/>
    <tableColumn id="8" xr3:uid="{6F19D1C1-8CFA-4A57-82FD-D6F310447866}" name="Type d'intervention" dataDxfId="27"/>
    <tableColumn id="9" xr3:uid="{7F7D7C1C-F645-4288-AA5C-4DBACE2CCBBF}" name="Intervenant" dataDxfId="26"/>
    <tableColumn id="10" xr3:uid="{3C5D6F7D-5E1A-4CD8-BA00-CFA7E2B13739}" name="Durée de l'Arrêt_x000a_(min)" dataDxfId="25"/>
    <tableColumn id="11" xr3:uid="{3D104ECA-B535-4D4A-B54A-2A29D8955241}" name="Problème" dataDxfId="24"/>
    <tableColumn id="12" xr3:uid="{D8996BFF-BB49-41F1-87C0-A29830BF1D51}" name="Détails de l'intervention" dataDxfId="23"/>
    <tableColumn id="13" xr3:uid="{9E3A489C-D83A-4622-92E7-C7ED49DF7F28}" name="Status Intervention" dataDxfId="22"/>
    <tableColumn id="14" xr3:uid="{5D2E4DE1-302B-4D53-B97B-351B3AF9544F}" name="Risque de Sécurité (après l'intervention Maintenance) 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A16268-8136-49CF-B5BA-0069E5AECEDA}" name="Table3" displayName="Table3" ref="C13:C67" totalsRowShown="0">
  <autoFilter ref="C13:C67" xr:uid="{5AA16268-8136-49CF-B5BA-0069E5AECEDA}"/>
  <tableColumns count="1">
    <tableColumn id="1" xr3:uid="{A3928D73-DC69-45A6-88E1-D0146CD1BFC1}" name="%" dataDxfId="20">
      <calculatedColumnFormula>B14/SUM($B$14:$B$66)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5EDFE4-3151-42A3-AB5E-0AB496FB94FC}" name="Intervenant" displayName="Intervenant" ref="A8:F23" totalsRowShown="0" headerRowDxfId="19" dataDxfId="17" headerRowBorderDxfId="18" tableBorderDxfId="16">
  <autoFilter ref="A8:F23" xr:uid="{915EDFE4-3151-42A3-AB5E-0AB496FB94FC}"/>
  <tableColumns count="6">
    <tableColumn id="1" xr3:uid="{E6EA78A4-F04A-4941-82C5-372D9713D26B}" name="Intervenant" dataDxfId="15"/>
    <tableColumn id="2" xr3:uid="{1B05DDEF-65AD-433D-9F5D-ACD7BAEAE3A4}" name="Status intervention" dataDxfId="14"/>
    <tableColumn id="3" xr3:uid="{0B1DF500-08E2-4268-93A0-092F9390A54E}" name="type d'arrêt" dataDxfId="13"/>
    <tableColumn id="6" xr3:uid="{6C19FE80-DC28-4D80-BA61-71B2E8353717}" name="TYPE D'INTERVENTION" dataDxfId="12"/>
    <tableColumn id="4" xr3:uid="{986D5B13-855C-41DE-B0F0-688B85CE6953}" name="Shift" dataDxfId="11"/>
    <tableColumn id="5" xr3:uid="{25109C13-276F-4731-BEC6-66DE1040346F}" name="Projet" dataDxfId="1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B3C9E-B04D-435F-BD17-C9E6FC3428DA}" name="Table1" displayName="Table1" ref="H8:U35" totalsRowShown="0" headerRowDxfId="9" headerRowBorderDxfId="8" tableBorderDxfId="7">
  <autoFilter ref="H8:U35" xr:uid="{1B8B3C9E-B04D-435F-BD17-C9E6FC3428DA}"/>
  <tableColumns count="14">
    <tableColumn id="1" xr3:uid="{2B9652C3-EC1D-4E72-9AFF-DB80EC19937F}" name="Cable"/>
    <tableColumn id="2" xr3:uid="{28C42809-4EB0-491F-87A7-440DD5379541}" name="BTB" dataDxfId="6"/>
    <tableColumn id="3" xr3:uid="{3F1F28AA-6576-497F-987E-BE11235D9BB5}" name="IDC"/>
    <tableColumn id="4" xr3:uid="{01373FEB-823D-4EA2-947E-84C9FFEF6447}" name="Maxibridge_Female"/>
    <tableColumn id="5" xr3:uid="{EF9E9495-88F6-4872-8D83-6E3A80E8B612}" name="MCB_Female"/>
    <tableColumn id="6" xr3:uid="{09A2772B-C47C-4F96-AE44-576B1CCBF39E}" name="MCB_Male"/>
    <tableColumn id="7" xr3:uid="{0D528C35-DFC7-4FB1-8050-05F6C0AD68F6}" name="MCC_180_Female"/>
    <tableColumn id="8" xr3:uid="{73164B3A-1E92-401F-AACC-978F623D168A}" name="MCC_180_Male"/>
    <tableColumn id="9" xr3:uid="{2AC4C80B-F135-4278-B07A-EDD0D1A548D9}" name="MCC_90_Female"/>
    <tableColumn id="10" xr3:uid="{57FE9C48-EDDC-48B4-8738-4FE2475E4006}" name="MCC_90_Male"/>
    <tableColumn id="11" xr3:uid="{26A1B0C2-3D94-4526-A9C7-E190936A13EE}" name="MCC_90_Male_Female"/>
    <tableColumn id="12" xr3:uid="{296BC2ED-9E13-43ED-8605-FDAD190CAF7B}" name="Power_Connector"/>
    <tableColumn id="13" xr3:uid="{7B51ACD1-5522-4C60-96EE-7028AE2DA35A}" name="RWB_Female"/>
    <tableColumn id="14" xr3:uid="{9D5BB923-1119-4BA6-AE15-53201F1346FB}" name="RWB M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7DB7-DAF4-4D80-9EAE-2EADA840A332}">
  <dimension ref="A1:N232"/>
  <sheetViews>
    <sheetView showGridLines="0" tabSelected="1" zoomScaleNormal="100" zoomScaleSheetLayoutView="124" workbookViewId="0">
      <pane ySplit="5" topLeftCell="A6" activePane="bottomLeft" state="frozen"/>
      <selection pane="bottomLeft" activeCell="N7" sqref="N7"/>
    </sheetView>
  </sheetViews>
  <sheetFormatPr defaultRowHeight="14.5" x14ac:dyDescent="0.35"/>
  <cols>
    <col min="1" max="1" width="14.54296875" bestFit="1" customWidth="1"/>
    <col min="2" max="2" width="11.54296875" customWidth="1"/>
    <col min="3" max="3" width="8" bestFit="1" customWidth="1"/>
    <col min="4" max="4" width="22.1796875" customWidth="1"/>
    <col min="5" max="5" width="18.81640625" style="37" customWidth="1"/>
    <col min="6" max="6" width="26.1796875" customWidth="1"/>
    <col min="7" max="7" width="17" style="38" customWidth="1"/>
    <col min="8" max="8" width="18.54296875" customWidth="1"/>
    <col min="9" max="9" width="21.453125" customWidth="1"/>
    <col min="10" max="10" width="12.26953125" customWidth="1"/>
    <col min="11" max="11" width="34.54296875" style="37" customWidth="1"/>
    <col min="12" max="12" width="38.81640625" style="37" customWidth="1"/>
    <col min="14" max="14" width="13.7265625" customWidth="1"/>
  </cols>
  <sheetData>
    <row r="1" spans="1:14" ht="21.5" thickBot="1" x14ac:dyDescent="0.4">
      <c r="A1" s="51" t="s">
        <v>0</v>
      </c>
      <c r="B1" s="52"/>
      <c r="C1" s="53"/>
      <c r="D1" s="42" t="s">
        <v>3</v>
      </c>
      <c r="E1" s="43"/>
      <c r="F1" s="43"/>
      <c r="G1" s="43"/>
      <c r="H1" s="43"/>
      <c r="I1" s="43"/>
      <c r="J1" s="43"/>
      <c r="K1" s="43"/>
      <c r="L1" s="44"/>
      <c r="M1" s="1" t="s">
        <v>1</v>
      </c>
      <c r="N1" s="2">
        <v>0</v>
      </c>
    </row>
    <row r="2" spans="1:14" ht="24" thickBot="1" x14ac:dyDescent="0.4">
      <c r="A2" s="54"/>
      <c r="B2" s="55"/>
      <c r="C2" s="56"/>
      <c r="D2" s="45" t="s">
        <v>208</v>
      </c>
      <c r="E2" s="46"/>
      <c r="F2" s="46"/>
      <c r="G2" s="46"/>
      <c r="H2" s="46"/>
      <c r="I2" s="46"/>
      <c r="J2" s="46"/>
      <c r="K2" s="46"/>
      <c r="L2" s="47"/>
      <c r="M2" s="1" t="s">
        <v>2</v>
      </c>
      <c r="N2" s="3">
        <v>45424</v>
      </c>
    </row>
    <row r="3" spans="1:14" ht="7.5" customHeight="1" x14ac:dyDescent="0.35"/>
    <row r="4" spans="1:14" ht="22.5" customHeight="1" thickBot="1" x14ac:dyDescent="0.4">
      <c r="A4" s="48" t="s">
        <v>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1:14" ht="31.5" x14ac:dyDescent="0.35">
      <c r="A5" s="33" t="s">
        <v>21</v>
      </c>
      <c r="B5" s="34" t="s">
        <v>22</v>
      </c>
      <c r="C5" s="34" t="s">
        <v>69</v>
      </c>
      <c r="D5" s="35" t="s">
        <v>33</v>
      </c>
      <c r="E5" s="35" t="s">
        <v>23</v>
      </c>
      <c r="F5" s="33" t="s">
        <v>24</v>
      </c>
      <c r="G5" s="35" t="s">
        <v>25</v>
      </c>
      <c r="H5" s="35" t="s">
        <v>26</v>
      </c>
      <c r="I5" s="36" t="s">
        <v>27</v>
      </c>
      <c r="J5" s="36" t="s">
        <v>28</v>
      </c>
      <c r="K5" s="33" t="s">
        <v>29</v>
      </c>
      <c r="L5" s="35" t="s">
        <v>30</v>
      </c>
      <c r="M5" s="35" t="s">
        <v>31</v>
      </c>
      <c r="N5" s="33" t="s">
        <v>32</v>
      </c>
    </row>
    <row r="6" spans="1:14" x14ac:dyDescent="0.3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4" ht="27.5" customHeight="1" x14ac:dyDescent="0.3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1:14" ht="27.5" customHeight="1" x14ac:dyDescent="0.3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4" ht="27.5" customHeight="1" x14ac:dyDescent="0.3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spans="1:14" x14ac:dyDescent="0.3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4" x14ac:dyDescent="0.3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spans="1:14" x14ac:dyDescent="0.3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spans="1:14" x14ac:dyDescent="0.3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 spans="1:14" x14ac:dyDescent="0.3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spans="1:14" x14ac:dyDescent="0.3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spans="1:14" x14ac:dyDescent="0.3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</row>
    <row r="17" spans="1:14" x14ac:dyDescent="0.3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 x14ac:dyDescent="0.3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 x14ac:dyDescent="0.3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spans="1:14" x14ac:dyDescent="0.3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spans="1:14" x14ac:dyDescent="0.3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spans="1:14" x14ac:dyDescent="0.3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14" x14ac:dyDescent="0.3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spans="1:14" x14ac:dyDescent="0.3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14" x14ac:dyDescent="0.3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14" x14ac:dyDescent="0.3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14" x14ac:dyDescent="0.3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14" x14ac:dyDescent="0.3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spans="1:14" x14ac:dyDescent="0.3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</row>
    <row r="30" spans="1:14" x14ac:dyDescent="0.3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</row>
    <row r="31" spans="1:14" x14ac:dyDescent="0.3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  <row r="32" spans="1:14" x14ac:dyDescent="0.3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</row>
    <row r="33" spans="1:14" x14ac:dyDescent="0.3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</row>
    <row r="34" spans="1:14" x14ac:dyDescent="0.3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</row>
    <row r="35" spans="1:14" x14ac:dyDescent="0.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</row>
    <row r="36" spans="1:14" x14ac:dyDescent="0.3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</row>
    <row r="37" spans="1:14" x14ac:dyDescent="0.3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</row>
    <row r="38" spans="1:14" x14ac:dyDescent="0.3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</row>
    <row r="39" spans="1:14" x14ac:dyDescent="0.3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</row>
    <row r="40" spans="1:14" x14ac:dyDescent="0.3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</row>
    <row r="41" spans="1:14" x14ac:dyDescent="0.3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</row>
    <row r="42" spans="1:14" x14ac:dyDescent="0.3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</row>
    <row r="43" spans="1:14" x14ac:dyDescent="0.3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</row>
    <row r="44" spans="1:14" x14ac:dyDescent="0.3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</row>
    <row r="45" spans="1:14" x14ac:dyDescent="0.3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</row>
    <row r="46" spans="1:14" x14ac:dyDescent="0.3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</row>
    <row r="47" spans="1:14" x14ac:dyDescent="0.3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</row>
    <row r="48" spans="1:14" x14ac:dyDescent="0.3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</row>
    <row r="49" spans="1:14" x14ac:dyDescent="0.3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</row>
    <row r="50" spans="1:14" x14ac:dyDescent="0.3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</row>
    <row r="51" spans="1:14" x14ac:dyDescent="0.3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</row>
    <row r="52" spans="1:14" x14ac:dyDescent="0.3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</row>
    <row r="53" spans="1:14" x14ac:dyDescent="0.3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</row>
    <row r="54" spans="1:14" x14ac:dyDescent="0.3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</row>
    <row r="55" spans="1:14" x14ac:dyDescent="0.3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</row>
    <row r="56" spans="1:14" x14ac:dyDescent="0.3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</row>
    <row r="57" spans="1:14" x14ac:dyDescent="0.3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</row>
    <row r="58" spans="1:14" x14ac:dyDescent="0.3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</row>
    <row r="59" spans="1:14" x14ac:dyDescent="0.3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1:14" x14ac:dyDescent="0.3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</row>
    <row r="61" spans="1:14" x14ac:dyDescent="0.3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</row>
    <row r="62" spans="1:14" x14ac:dyDescent="0.3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</row>
    <row r="63" spans="1:14" x14ac:dyDescent="0.3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</row>
    <row r="64" spans="1:14" x14ac:dyDescent="0.3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</row>
    <row r="65" spans="1:14" x14ac:dyDescent="0.3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</row>
    <row r="66" spans="1:14" x14ac:dyDescent="0.3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</row>
    <row r="67" spans="1:14" x14ac:dyDescent="0.3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</row>
    <row r="68" spans="1:14" x14ac:dyDescent="0.3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</row>
    <row r="69" spans="1:14" x14ac:dyDescent="0.3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</row>
    <row r="70" spans="1:14" x14ac:dyDescent="0.3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</row>
    <row r="71" spans="1:14" x14ac:dyDescent="0.3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</row>
    <row r="72" spans="1:14" x14ac:dyDescent="0.3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</row>
    <row r="73" spans="1:14" x14ac:dyDescent="0.3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</row>
    <row r="74" spans="1:14" x14ac:dyDescent="0.3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</row>
    <row r="75" spans="1:14" x14ac:dyDescent="0.3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</row>
    <row r="76" spans="1:14" x14ac:dyDescent="0.3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</row>
    <row r="77" spans="1:14" x14ac:dyDescent="0.3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</row>
    <row r="78" spans="1:14" x14ac:dyDescent="0.3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</row>
    <row r="79" spans="1:14" x14ac:dyDescent="0.3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</row>
    <row r="80" spans="1:14" x14ac:dyDescent="0.3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</row>
    <row r="81" spans="1:14" x14ac:dyDescent="0.3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</row>
    <row r="82" spans="1:14" x14ac:dyDescent="0.3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</row>
    <row r="83" spans="1:14" x14ac:dyDescent="0.3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</row>
    <row r="84" spans="1:14" x14ac:dyDescent="0.3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</row>
    <row r="85" spans="1:14" x14ac:dyDescent="0.3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</row>
    <row r="86" spans="1:14" x14ac:dyDescent="0.3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</row>
    <row r="87" spans="1:14" x14ac:dyDescent="0.3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</row>
    <row r="88" spans="1:14" x14ac:dyDescent="0.3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</row>
    <row r="89" spans="1:14" x14ac:dyDescent="0.3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</row>
    <row r="90" spans="1:14" x14ac:dyDescent="0.3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</row>
    <row r="91" spans="1:14" x14ac:dyDescent="0.3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</row>
    <row r="92" spans="1:14" x14ac:dyDescent="0.3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</row>
    <row r="93" spans="1:14" x14ac:dyDescent="0.3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</row>
    <row r="94" spans="1:14" x14ac:dyDescent="0.3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</row>
    <row r="95" spans="1:14" x14ac:dyDescent="0.3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</row>
    <row r="96" spans="1:14" x14ac:dyDescent="0.3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</row>
    <row r="97" spans="1:14" x14ac:dyDescent="0.3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</row>
    <row r="98" spans="1:14" x14ac:dyDescent="0.3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</row>
    <row r="99" spans="1:14" x14ac:dyDescent="0.3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</row>
    <row r="100" spans="1:14" x14ac:dyDescent="0.3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</row>
    <row r="101" spans="1:14" x14ac:dyDescent="0.3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</row>
    <row r="102" spans="1:14" x14ac:dyDescent="0.3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</row>
    <row r="103" spans="1:14" x14ac:dyDescent="0.3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</row>
    <row r="104" spans="1:14" x14ac:dyDescent="0.3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</row>
    <row r="105" spans="1:14" x14ac:dyDescent="0.3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</row>
    <row r="106" spans="1:14" x14ac:dyDescent="0.3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</row>
    <row r="107" spans="1:14" x14ac:dyDescent="0.3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</row>
    <row r="108" spans="1:14" x14ac:dyDescent="0.3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</row>
    <row r="109" spans="1:14" x14ac:dyDescent="0.3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</row>
    <row r="110" spans="1:14" x14ac:dyDescent="0.3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</row>
    <row r="111" spans="1:14" x14ac:dyDescent="0.3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</row>
    <row r="112" spans="1:14" x14ac:dyDescent="0.3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</row>
    <row r="113" spans="1:14" x14ac:dyDescent="0.3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</row>
    <row r="114" spans="1:14" x14ac:dyDescent="0.3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</row>
    <row r="115" spans="1:14" x14ac:dyDescent="0.3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</row>
    <row r="116" spans="1:14" x14ac:dyDescent="0.3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</row>
    <row r="117" spans="1:14" x14ac:dyDescent="0.3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</row>
    <row r="118" spans="1:14" x14ac:dyDescent="0.3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</row>
    <row r="119" spans="1:14" x14ac:dyDescent="0.3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</row>
    <row r="120" spans="1:14" x14ac:dyDescent="0.3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</row>
    <row r="121" spans="1:14" x14ac:dyDescent="0.3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</row>
    <row r="122" spans="1:14" x14ac:dyDescent="0.3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</row>
    <row r="123" spans="1:14" x14ac:dyDescent="0.3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</row>
    <row r="124" spans="1:14" x14ac:dyDescent="0.3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</row>
    <row r="125" spans="1:14" x14ac:dyDescent="0.3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</row>
    <row r="126" spans="1:14" x14ac:dyDescent="0.3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</row>
    <row r="127" spans="1:14" x14ac:dyDescent="0.3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</row>
    <row r="128" spans="1:14" x14ac:dyDescent="0.3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</row>
    <row r="129" spans="1:14" x14ac:dyDescent="0.3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</row>
    <row r="130" spans="1:14" x14ac:dyDescent="0.3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</row>
    <row r="131" spans="1:14" x14ac:dyDescent="0.3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</row>
    <row r="132" spans="1:14" x14ac:dyDescent="0.3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</row>
    <row r="133" spans="1:14" x14ac:dyDescent="0.3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</row>
    <row r="134" spans="1:14" x14ac:dyDescent="0.3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</row>
    <row r="135" spans="1:14" x14ac:dyDescent="0.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</row>
    <row r="136" spans="1:14" x14ac:dyDescent="0.3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</row>
    <row r="137" spans="1:14" x14ac:dyDescent="0.3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</row>
    <row r="138" spans="1:14" x14ac:dyDescent="0.3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</row>
    <row r="139" spans="1:14" x14ac:dyDescent="0.3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</row>
    <row r="140" spans="1:14" x14ac:dyDescent="0.3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</row>
    <row r="141" spans="1:14" x14ac:dyDescent="0.3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</row>
    <row r="142" spans="1:14" x14ac:dyDescent="0.3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</row>
    <row r="143" spans="1:14" x14ac:dyDescent="0.3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</row>
    <row r="144" spans="1:14" x14ac:dyDescent="0.3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</row>
    <row r="145" spans="1:14" x14ac:dyDescent="0.3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</row>
    <row r="146" spans="1:14" x14ac:dyDescent="0.3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</row>
    <row r="147" spans="1:14" x14ac:dyDescent="0.3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</row>
    <row r="148" spans="1:14" x14ac:dyDescent="0.3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</row>
    <row r="149" spans="1:14" x14ac:dyDescent="0.3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</row>
    <row r="150" spans="1:14" x14ac:dyDescent="0.3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</row>
    <row r="151" spans="1:14" x14ac:dyDescent="0.3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</row>
    <row r="152" spans="1:14" x14ac:dyDescent="0.3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</row>
    <row r="153" spans="1:14" x14ac:dyDescent="0.3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</row>
    <row r="154" spans="1:14" x14ac:dyDescent="0.3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</row>
    <row r="155" spans="1:14" x14ac:dyDescent="0.3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</row>
    <row r="156" spans="1:14" x14ac:dyDescent="0.3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</row>
    <row r="157" spans="1:14" x14ac:dyDescent="0.3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</row>
    <row r="158" spans="1:14" x14ac:dyDescent="0.3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</row>
    <row r="159" spans="1:14" x14ac:dyDescent="0.3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</row>
    <row r="160" spans="1:14" x14ac:dyDescent="0.3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</row>
    <row r="161" spans="1:14" x14ac:dyDescent="0.3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</row>
    <row r="162" spans="1:14" x14ac:dyDescent="0.3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</row>
    <row r="163" spans="1:14" x14ac:dyDescent="0.3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</row>
    <row r="164" spans="1:14" x14ac:dyDescent="0.3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</row>
    <row r="165" spans="1:14" x14ac:dyDescent="0.3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</row>
    <row r="166" spans="1:14" x14ac:dyDescent="0.3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</row>
    <row r="167" spans="1:14" x14ac:dyDescent="0.3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</row>
    <row r="168" spans="1:14" x14ac:dyDescent="0.3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</row>
    <row r="169" spans="1:14" x14ac:dyDescent="0.3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</row>
    <row r="170" spans="1:14" x14ac:dyDescent="0.3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</row>
    <row r="171" spans="1:14" x14ac:dyDescent="0.3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</row>
    <row r="172" spans="1:14" x14ac:dyDescent="0.3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</row>
    <row r="173" spans="1:14" x14ac:dyDescent="0.3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</row>
    <row r="174" spans="1:14" x14ac:dyDescent="0.3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</row>
    <row r="175" spans="1:14" x14ac:dyDescent="0.3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</row>
    <row r="176" spans="1:14" x14ac:dyDescent="0.3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</row>
    <row r="177" spans="1:14" x14ac:dyDescent="0.3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</row>
    <row r="178" spans="1:14" x14ac:dyDescent="0.3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</row>
    <row r="179" spans="1:14" x14ac:dyDescent="0.3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</row>
    <row r="180" spans="1:14" x14ac:dyDescent="0.3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</row>
    <row r="181" spans="1:14" x14ac:dyDescent="0.3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</row>
    <row r="182" spans="1:14" x14ac:dyDescent="0.3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</row>
    <row r="183" spans="1:14" x14ac:dyDescent="0.3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</row>
    <row r="184" spans="1:14" x14ac:dyDescent="0.3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</row>
    <row r="185" spans="1:14" x14ac:dyDescent="0.3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</row>
    <row r="186" spans="1:14" x14ac:dyDescent="0.3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</row>
    <row r="187" spans="1:14" x14ac:dyDescent="0.3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</row>
    <row r="188" spans="1:14" x14ac:dyDescent="0.3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</row>
    <row r="189" spans="1:14" x14ac:dyDescent="0.3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</row>
    <row r="190" spans="1:14" x14ac:dyDescent="0.3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</row>
    <row r="191" spans="1:14" x14ac:dyDescent="0.3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</row>
    <row r="192" spans="1:14" x14ac:dyDescent="0.3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</row>
    <row r="193" spans="1:14" x14ac:dyDescent="0.3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</row>
    <row r="194" spans="1:14" x14ac:dyDescent="0.3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</row>
    <row r="195" spans="1:14" x14ac:dyDescent="0.3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</row>
    <row r="196" spans="1:14" x14ac:dyDescent="0.3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</row>
    <row r="197" spans="1:14" x14ac:dyDescent="0.3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</row>
    <row r="198" spans="1:14" x14ac:dyDescent="0.3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</row>
    <row r="199" spans="1:14" x14ac:dyDescent="0.3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</row>
    <row r="200" spans="1:14" x14ac:dyDescent="0.3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</row>
    <row r="201" spans="1:14" x14ac:dyDescent="0.3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</row>
    <row r="202" spans="1:14" x14ac:dyDescent="0.3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</row>
    <row r="203" spans="1:14" x14ac:dyDescent="0.3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</row>
    <row r="204" spans="1:14" x14ac:dyDescent="0.3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</row>
    <row r="205" spans="1:14" x14ac:dyDescent="0.3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</row>
    <row r="206" spans="1:14" x14ac:dyDescent="0.3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</row>
    <row r="207" spans="1:14" x14ac:dyDescent="0.3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</row>
    <row r="208" spans="1:14" x14ac:dyDescent="0.3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</row>
    <row r="209" spans="1:14" x14ac:dyDescent="0.3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</row>
    <row r="210" spans="1:14" x14ac:dyDescent="0.3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</row>
    <row r="211" spans="1:14" x14ac:dyDescent="0.3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</row>
    <row r="212" spans="1:14" x14ac:dyDescent="0.3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</row>
    <row r="213" spans="1:14" x14ac:dyDescent="0.3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</row>
    <row r="214" spans="1:14" x14ac:dyDescent="0.3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</row>
    <row r="215" spans="1:14" x14ac:dyDescent="0.3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</row>
    <row r="216" spans="1:14" x14ac:dyDescent="0.3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</row>
    <row r="217" spans="1:14" x14ac:dyDescent="0.3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</row>
    <row r="218" spans="1:14" x14ac:dyDescent="0.3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</row>
    <row r="219" spans="1:14" x14ac:dyDescent="0.3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</row>
    <row r="220" spans="1:14" x14ac:dyDescent="0.3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</row>
    <row r="221" spans="1:14" x14ac:dyDescent="0.35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</row>
    <row r="222" spans="1:14" x14ac:dyDescent="0.35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</row>
    <row r="223" spans="1:14" x14ac:dyDescent="0.35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</row>
    <row r="224" spans="1:14" x14ac:dyDescent="0.35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</row>
    <row r="225" spans="1:14" x14ac:dyDescent="0.3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</row>
    <row r="226" spans="1:14" x14ac:dyDescent="0.35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</row>
    <row r="227" spans="1:14" x14ac:dyDescent="0.35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</row>
    <row r="228" spans="1:14" x14ac:dyDescent="0.35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</row>
    <row r="229" spans="1:14" x14ac:dyDescent="0.3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</row>
    <row r="230" spans="1:14" x14ac:dyDescent="0.35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</row>
    <row r="231" spans="1:14" x14ac:dyDescent="0.35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</row>
    <row r="232" spans="1:14" x14ac:dyDescent="0.35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</row>
  </sheetData>
  <mergeCells count="4">
    <mergeCell ref="D1:L1"/>
    <mergeCell ref="D2:L2"/>
    <mergeCell ref="A4:N4"/>
    <mergeCell ref="A1:C2"/>
  </mergeCells>
  <phoneticPr fontId="11" type="noConversion"/>
  <conditionalFormatting sqref="M5:M232">
    <cfRule type="cellIs" dxfId="5" priority="7" operator="equal">
      <formula>"En Cours"</formula>
    </cfRule>
    <cfRule type="cellIs" dxfId="4" priority="8" operator="equal">
      <formula>"Encours"</formula>
    </cfRule>
    <cfRule type="cellIs" dxfId="3" priority="9" operator="equal">
      <formula>"Terminer"</formula>
    </cfRule>
  </conditionalFormatting>
  <pageMargins left="0.7" right="0.7" top="0.75" bottom="0.75" header="0.3" footer="0.3"/>
  <pageSetup scale="50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9CEB580-FCD7-4EAF-B481-E49DBCAC1DF6}">
          <x14:formula1>
            <xm:f>Donnée!$A$9:$A$23</xm:f>
          </x14:formula1>
          <xm:sqref>I6:I232</xm:sqref>
        </x14:dataValidation>
        <x14:dataValidation type="list" allowBlank="1" showInputMessage="1" showErrorMessage="1" xr:uid="{F3880F89-BA33-4E98-A106-E50DD54CDF6F}">
          <x14:formula1>
            <xm:f>Donnée!$E$9:$E$11</xm:f>
          </x14:formula1>
          <xm:sqref>D6:D232</xm:sqref>
        </x14:dataValidation>
        <x14:dataValidation type="list" allowBlank="1" showInputMessage="1" showErrorMessage="1" xr:uid="{46F9B6AB-7F4D-45A7-B184-0A8265C534A8}">
          <x14:formula1>
            <xm:f>Donnée!$D$9:$D$23</xm:f>
          </x14:formula1>
          <xm:sqref>H6:H232</xm:sqref>
        </x14:dataValidation>
        <x14:dataValidation type="list" allowBlank="1" showInputMessage="1" showErrorMessage="1" xr:uid="{F9D2C5D7-0F29-40D8-8350-279609F64FA9}">
          <x14:formula1>
            <xm:f>Donnée!$B$9:$B$10</xm:f>
          </x14:formula1>
          <xm:sqref>M6:M232</xm:sqref>
        </x14:dataValidation>
        <x14:dataValidation type="list" allowBlank="1" showInputMessage="1" showErrorMessage="1" xr:uid="{922E0895-426B-4B11-9684-C705CBB58ABC}">
          <x14:formula1>
            <xm:f>Donnée!$F$9:$F$22</xm:f>
          </x14:formula1>
          <xm:sqref>E6:E232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71D9-BA21-465C-9D7B-044017CA73F9}">
  <dimension ref="A1:M67"/>
  <sheetViews>
    <sheetView showGridLines="0" zoomScale="70" zoomScaleNormal="70" workbookViewId="0">
      <selection activeCell="A20" sqref="A14:A55"/>
      <pivotSelection pane="bottomRight" showHeader="1" axis="axisRow" activeRow="19" previousRow="19" click="1" r:id="rId1">
        <pivotArea dataOnly="0" labelOnly="1" fieldPosition="0">
          <references count="1">
            <reference field="5" count="0"/>
          </references>
        </pivotArea>
      </pivotSelection>
    </sheetView>
  </sheetViews>
  <sheetFormatPr defaultRowHeight="14.5" x14ac:dyDescent="0.35"/>
  <cols>
    <col min="1" max="1" width="30.54296875" bestFit="1" customWidth="1"/>
    <col min="2" max="2" width="32.26953125" bestFit="1" customWidth="1"/>
    <col min="3" max="3" width="16.453125" bestFit="1" customWidth="1"/>
    <col min="4" max="4" width="19.7265625" bestFit="1" customWidth="1"/>
    <col min="5" max="5" width="14.26953125" bestFit="1" customWidth="1"/>
    <col min="6" max="6" width="19.7265625" bestFit="1" customWidth="1"/>
    <col min="7" max="7" width="21.453125" bestFit="1" customWidth="1"/>
    <col min="8" max="8" width="19.1796875" bestFit="1" customWidth="1"/>
    <col min="9" max="9" width="18.453125" bestFit="1" customWidth="1"/>
    <col min="10" max="10" width="22.453125" bestFit="1" customWidth="1"/>
    <col min="11" max="11" width="20.453125" bestFit="1" customWidth="1"/>
    <col min="13" max="13" width="11.26953125" customWidth="1"/>
  </cols>
  <sheetData>
    <row r="1" spans="1:13" ht="21.5" thickBot="1" x14ac:dyDescent="0.4">
      <c r="A1" s="51" t="s">
        <v>0</v>
      </c>
      <c r="B1" s="53"/>
      <c r="C1" s="42" t="s">
        <v>3</v>
      </c>
      <c r="D1" s="43"/>
      <c r="E1" s="43"/>
      <c r="F1" s="43"/>
      <c r="G1" s="43"/>
      <c r="H1" s="43"/>
      <c r="I1" s="43"/>
      <c r="J1" s="43"/>
      <c r="K1" s="44"/>
      <c r="L1" s="1" t="s">
        <v>1</v>
      </c>
      <c r="M1" s="2">
        <v>0</v>
      </c>
    </row>
    <row r="2" spans="1:13" ht="24" thickBot="1" x14ac:dyDescent="0.4">
      <c r="A2" s="54"/>
      <c r="B2" s="56"/>
      <c r="C2" s="45" t="s">
        <v>4</v>
      </c>
      <c r="D2" s="46"/>
      <c r="E2" s="46"/>
      <c r="F2" s="46"/>
      <c r="G2" s="46"/>
      <c r="H2" s="46"/>
      <c r="I2" s="46"/>
      <c r="J2" s="46"/>
      <c r="K2" s="47"/>
      <c r="L2" s="1" t="s">
        <v>2</v>
      </c>
      <c r="M2" s="3">
        <v>45424</v>
      </c>
    </row>
    <row r="3" spans="1:13" ht="7.5" customHeight="1" x14ac:dyDescent="0.35"/>
    <row r="4" spans="1:13" ht="22.5" customHeight="1" x14ac:dyDescent="0.35">
      <c r="A4" s="48" t="s">
        <v>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</row>
    <row r="10" spans="1:13" x14ac:dyDescent="0.35">
      <c r="A10" s="18" t="s">
        <v>69</v>
      </c>
      <c r="B10" t="s">
        <v>68</v>
      </c>
    </row>
    <row r="11" spans="1:13" x14ac:dyDescent="0.35">
      <c r="A11" s="18" t="s">
        <v>22</v>
      </c>
      <c r="B11" t="s">
        <v>68</v>
      </c>
    </row>
    <row r="13" spans="1:13" x14ac:dyDescent="0.35">
      <c r="A13" s="18" t="s">
        <v>36</v>
      </c>
      <c r="B13" t="s">
        <v>67</v>
      </c>
      <c r="C13" t="s">
        <v>70</v>
      </c>
    </row>
    <row r="14" spans="1:13" x14ac:dyDescent="0.35">
      <c r="A14" s="19" t="s">
        <v>48</v>
      </c>
      <c r="B14">
        <v>700</v>
      </c>
      <c r="C14" s="20">
        <f t="shared" ref="C14:C45" si="0">B14/SUM($B$14:$B$66)</f>
        <v>6.9238377843719084E-2</v>
      </c>
    </row>
    <row r="15" spans="1:13" x14ac:dyDescent="0.35">
      <c r="A15" s="19" t="s">
        <v>56</v>
      </c>
      <c r="B15">
        <v>680</v>
      </c>
      <c r="C15" s="20">
        <f t="shared" si="0"/>
        <v>6.7260138476755688E-2</v>
      </c>
    </row>
    <row r="16" spans="1:13" x14ac:dyDescent="0.35">
      <c r="A16" s="19" t="s">
        <v>75</v>
      </c>
      <c r="B16">
        <v>565</v>
      </c>
      <c r="C16" s="20">
        <f t="shared" si="0"/>
        <v>5.5885262116716121E-2</v>
      </c>
    </row>
    <row r="17" spans="1:3" x14ac:dyDescent="0.35">
      <c r="A17" s="19" t="s">
        <v>41</v>
      </c>
      <c r="B17">
        <v>525</v>
      </c>
      <c r="C17" s="20">
        <f t="shared" si="0"/>
        <v>5.192878338278932E-2</v>
      </c>
    </row>
    <row r="18" spans="1:3" x14ac:dyDescent="0.35">
      <c r="A18" s="19" t="s">
        <v>45</v>
      </c>
      <c r="B18">
        <v>255</v>
      </c>
      <c r="C18" s="20">
        <f t="shared" si="0"/>
        <v>2.5222551928783383E-2</v>
      </c>
    </row>
    <row r="19" spans="1:3" x14ac:dyDescent="0.35">
      <c r="A19" s="19" t="s">
        <v>49</v>
      </c>
      <c r="B19">
        <v>245</v>
      </c>
      <c r="C19" s="20">
        <f t="shared" si="0"/>
        <v>2.4233432245301681E-2</v>
      </c>
    </row>
    <row r="20" spans="1:3" x14ac:dyDescent="0.35">
      <c r="A20" s="19" t="s">
        <v>72</v>
      </c>
      <c r="B20">
        <v>200</v>
      </c>
      <c r="C20" s="20">
        <f t="shared" si="0"/>
        <v>1.9782393669634024E-2</v>
      </c>
    </row>
    <row r="21" spans="1:3" x14ac:dyDescent="0.35">
      <c r="A21" s="19" t="s">
        <v>74</v>
      </c>
      <c r="B21">
        <v>190</v>
      </c>
      <c r="C21" s="20">
        <f t="shared" si="0"/>
        <v>1.8793273986152326E-2</v>
      </c>
    </row>
    <row r="22" spans="1:3" x14ac:dyDescent="0.35">
      <c r="A22" s="19" t="s">
        <v>64</v>
      </c>
      <c r="B22">
        <v>170</v>
      </c>
      <c r="C22" s="20">
        <f t="shared" si="0"/>
        <v>1.6815034619188922E-2</v>
      </c>
    </row>
    <row r="23" spans="1:3" x14ac:dyDescent="0.35">
      <c r="A23" s="19" t="s">
        <v>46</v>
      </c>
      <c r="B23">
        <v>140</v>
      </c>
      <c r="C23" s="20">
        <f t="shared" si="0"/>
        <v>1.3847675568743818E-2</v>
      </c>
    </row>
    <row r="24" spans="1:3" x14ac:dyDescent="0.35">
      <c r="A24" s="19" t="s">
        <v>86</v>
      </c>
      <c r="B24">
        <v>115</v>
      </c>
      <c r="C24" s="20">
        <f t="shared" si="0"/>
        <v>1.1374876360039565E-2</v>
      </c>
    </row>
    <row r="25" spans="1:3" x14ac:dyDescent="0.35">
      <c r="A25" s="19" t="s">
        <v>51</v>
      </c>
      <c r="B25">
        <v>105</v>
      </c>
      <c r="C25" s="20">
        <f t="shared" si="0"/>
        <v>1.0385756676557863E-2</v>
      </c>
    </row>
    <row r="26" spans="1:3" x14ac:dyDescent="0.35">
      <c r="A26" s="19" t="s">
        <v>58</v>
      </c>
      <c r="B26">
        <v>105</v>
      </c>
      <c r="C26" s="20">
        <f t="shared" si="0"/>
        <v>1.0385756676557863E-2</v>
      </c>
    </row>
    <row r="27" spans="1:3" x14ac:dyDescent="0.35">
      <c r="A27" s="19" t="s">
        <v>54</v>
      </c>
      <c r="B27">
        <v>100</v>
      </c>
      <c r="C27" s="20">
        <f t="shared" si="0"/>
        <v>9.8911968348170121E-3</v>
      </c>
    </row>
    <row r="28" spans="1:3" x14ac:dyDescent="0.35">
      <c r="A28" s="19" t="s">
        <v>59</v>
      </c>
      <c r="B28">
        <v>85</v>
      </c>
      <c r="C28" s="20">
        <f t="shared" si="0"/>
        <v>8.4075173095944609E-3</v>
      </c>
    </row>
    <row r="29" spans="1:3" x14ac:dyDescent="0.35">
      <c r="A29" s="19" t="s">
        <v>83</v>
      </c>
      <c r="B29">
        <v>75</v>
      </c>
      <c r="C29" s="20">
        <f t="shared" si="0"/>
        <v>7.4183976261127599E-3</v>
      </c>
    </row>
    <row r="30" spans="1:3" x14ac:dyDescent="0.35">
      <c r="A30" s="19" t="s">
        <v>85</v>
      </c>
      <c r="B30">
        <v>75</v>
      </c>
      <c r="C30" s="20">
        <f t="shared" si="0"/>
        <v>7.4183976261127599E-3</v>
      </c>
    </row>
    <row r="31" spans="1:3" x14ac:dyDescent="0.35">
      <c r="A31" s="19" t="s">
        <v>66</v>
      </c>
      <c r="B31">
        <v>55</v>
      </c>
      <c r="C31" s="20">
        <f t="shared" si="0"/>
        <v>5.440158259149357E-3</v>
      </c>
    </row>
    <row r="32" spans="1:3" x14ac:dyDescent="0.35">
      <c r="A32" s="19" t="s">
        <v>63</v>
      </c>
      <c r="B32">
        <v>50</v>
      </c>
      <c r="C32" s="20">
        <f t="shared" si="0"/>
        <v>4.945598417408506E-3</v>
      </c>
    </row>
    <row r="33" spans="1:3" x14ac:dyDescent="0.35">
      <c r="A33" s="19" t="s">
        <v>100</v>
      </c>
      <c r="B33">
        <v>50</v>
      </c>
      <c r="C33" s="20">
        <f t="shared" si="0"/>
        <v>4.945598417408506E-3</v>
      </c>
    </row>
    <row r="34" spans="1:3" x14ac:dyDescent="0.35">
      <c r="A34" s="19" t="s">
        <v>47</v>
      </c>
      <c r="B34">
        <v>45</v>
      </c>
      <c r="C34" s="20">
        <f t="shared" si="0"/>
        <v>4.4510385756676559E-3</v>
      </c>
    </row>
    <row r="35" spans="1:3" x14ac:dyDescent="0.35">
      <c r="A35" s="19" t="s">
        <v>52</v>
      </c>
      <c r="B35">
        <v>40</v>
      </c>
      <c r="C35" s="20">
        <f t="shared" si="0"/>
        <v>3.956478733926805E-3</v>
      </c>
    </row>
    <row r="36" spans="1:3" x14ac:dyDescent="0.35">
      <c r="A36" s="19" t="s">
        <v>43</v>
      </c>
      <c r="B36">
        <v>35</v>
      </c>
      <c r="C36" s="20">
        <f t="shared" si="0"/>
        <v>3.4619188921859545E-3</v>
      </c>
    </row>
    <row r="37" spans="1:3" x14ac:dyDescent="0.35">
      <c r="A37" s="19" t="s">
        <v>82</v>
      </c>
      <c r="B37">
        <v>35</v>
      </c>
      <c r="C37" s="20">
        <f t="shared" si="0"/>
        <v>3.4619188921859545E-3</v>
      </c>
    </row>
    <row r="38" spans="1:3" x14ac:dyDescent="0.35">
      <c r="A38" s="19" t="s">
        <v>77</v>
      </c>
      <c r="B38">
        <v>35</v>
      </c>
      <c r="C38" s="20">
        <f t="shared" si="0"/>
        <v>3.4619188921859545E-3</v>
      </c>
    </row>
    <row r="39" spans="1:3" x14ac:dyDescent="0.35">
      <c r="A39" s="19" t="s">
        <v>65</v>
      </c>
      <c r="B39">
        <v>35</v>
      </c>
      <c r="C39" s="20">
        <f t="shared" si="0"/>
        <v>3.4619188921859545E-3</v>
      </c>
    </row>
    <row r="40" spans="1:3" x14ac:dyDescent="0.35">
      <c r="A40" s="19" t="s">
        <v>84</v>
      </c>
      <c r="B40">
        <v>30</v>
      </c>
      <c r="C40" s="20">
        <f t="shared" si="0"/>
        <v>2.967359050445104E-3</v>
      </c>
    </row>
    <row r="41" spans="1:3" x14ac:dyDescent="0.35">
      <c r="A41" s="19" t="s">
        <v>101</v>
      </c>
      <c r="B41">
        <v>30</v>
      </c>
      <c r="C41" s="20">
        <f t="shared" si="0"/>
        <v>2.967359050445104E-3</v>
      </c>
    </row>
    <row r="42" spans="1:3" x14ac:dyDescent="0.35">
      <c r="A42" s="19" t="s">
        <v>79</v>
      </c>
      <c r="B42">
        <v>30</v>
      </c>
      <c r="C42" s="20">
        <f t="shared" si="0"/>
        <v>2.967359050445104E-3</v>
      </c>
    </row>
    <row r="43" spans="1:3" x14ac:dyDescent="0.35">
      <c r="A43" s="19" t="s">
        <v>42</v>
      </c>
      <c r="B43">
        <v>30</v>
      </c>
      <c r="C43" s="20">
        <f t="shared" si="0"/>
        <v>2.967359050445104E-3</v>
      </c>
    </row>
    <row r="44" spans="1:3" x14ac:dyDescent="0.35">
      <c r="A44" s="19" t="s">
        <v>40</v>
      </c>
      <c r="B44">
        <v>30</v>
      </c>
      <c r="C44" s="20">
        <f t="shared" si="0"/>
        <v>2.967359050445104E-3</v>
      </c>
    </row>
    <row r="45" spans="1:3" x14ac:dyDescent="0.35">
      <c r="A45" s="19" t="s">
        <v>80</v>
      </c>
      <c r="B45">
        <v>25</v>
      </c>
      <c r="C45" s="20">
        <f t="shared" si="0"/>
        <v>2.472799208704253E-3</v>
      </c>
    </row>
    <row r="46" spans="1:3" x14ac:dyDescent="0.35">
      <c r="A46" s="19" t="s">
        <v>53</v>
      </c>
      <c r="B46">
        <v>25</v>
      </c>
      <c r="C46" s="20">
        <f t="shared" ref="C46:C67" si="1">B46/SUM($B$14:$B$66)</f>
        <v>2.472799208704253E-3</v>
      </c>
    </row>
    <row r="47" spans="1:3" x14ac:dyDescent="0.35">
      <c r="A47" s="19" t="s">
        <v>76</v>
      </c>
      <c r="B47">
        <v>25</v>
      </c>
      <c r="C47" s="20">
        <f t="shared" si="1"/>
        <v>2.472799208704253E-3</v>
      </c>
    </row>
    <row r="48" spans="1:3" x14ac:dyDescent="0.35">
      <c r="A48" s="19" t="s">
        <v>57</v>
      </c>
      <c r="B48">
        <v>20</v>
      </c>
      <c r="C48" s="20">
        <f t="shared" si="1"/>
        <v>1.9782393669634025E-3</v>
      </c>
    </row>
    <row r="49" spans="1:3" x14ac:dyDescent="0.35">
      <c r="A49" s="19" t="s">
        <v>44</v>
      </c>
      <c r="B49">
        <v>20</v>
      </c>
      <c r="C49" s="20">
        <f t="shared" si="1"/>
        <v>1.9782393669634025E-3</v>
      </c>
    </row>
    <row r="50" spans="1:3" x14ac:dyDescent="0.35">
      <c r="A50" s="19" t="s">
        <v>81</v>
      </c>
      <c r="B50">
        <v>20</v>
      </c>
      <c r="C50" s="20">
        <f t="shared" si="1"/>
        <v>1.9782393669634025E-3</v>
      </c>
    </row>
    <row r="51" spans="1:3" x14ac:dyDescent="0.35">
      <c r="A51" s="19" t="s">
        <v>78</v>
      </c>
      <c r="B51">
        <v>20</v>
      </c>
      <c r="C51" s="20">
        <f t="shared" si="1"/>
        <v>1.9782393669634025E-3</v>
      </c>
    </row>
    <row r="52" spans="1:3" x14ac:dyDescent="0.35">
      <c r="A52" s="19" t="s">
        <v>73</v>
      </c>
      <c r="B52">
        <v>15</v>
      </c>
      <c r="C52" s="20">
        <f t="shared" si="1"/>
        <v>1.483679525222552E-3</v>
      </c>
    </row>
    <row r="53" spans="1:3" x14ac:dyDescent="0.35">
      <c r="A53" s="19" t="s">
        <v>62</v>
      </c>
      <c r="B53">
        <v>15</v>
      </c>
      <c r="C53" s="20">
        <f t="shared" si="1"/>
        <v>1.483679525222552E-3</v>
      </c>
    </row>
    <row r="54" spans="1:3" x14ac:dyDescent="0.35">
      <c r="A54" s="19" t="s">
        <v>50</v>
      </c>
      <c r="B54">
        <v>10</v>
      </c>
      <c r="C54" s="20">
        <f t="shared" si="1"/>
        <v>9.8911968348170125E-4</v>
      </c>
    </row>
    <row r="55" spans="1:3" x14ac:dyDescent="0.35">
      <c r="A55" s="19" t="s">
        <v>34</v>
      </c>
      <c r="C55" s="20">
        <f t="shared" si="1"/>
        <v>0</v>
      </c>
    </row>
    <row r="56" spans="1:3" x14ac:dyDescent="0.35">
      <c r="A56" s="19" t="s">
        <v>35</v>
      </c>
      <c r="B56">
        <v>5055</v>
      </c>
      <c r="C56" s="20">
        <f t="shared" si="1"/>
        <v>0.5</v>
      </c>
    </row>
    <row r="57" spans="1:3" x14ac:dyDescent="0.35">
      <c r="C57" s="20">
        <f t="shared" si="1"/>
        <v>0</v>
      </c>
    </row>
    <row r="58" spans="1:3" x14ac:dyDescent="0.35">
      <c r="C58" s="20">
        <f t="shared" si="1"/>
        <v>0</v>
      </c>
    </row>
    <row r="59" spans="1:3" x14ac:dyDescent="0.35">
      <c r="C59" s="20">
        <f t="shared" si="1"/>
        <v>0</v>
      </c>
    </row>
    <row r="60" spans="1:3" x14ac:dyDescent="0.35">
      <c r="C60" s="20">
        <f t="shared" si="1"/>
        <v>0</v>
      </c>
    </row>
    <row r="61" spans="1:3" x14ac:dyDescent="0.35">
      <c r="C61" s="20">
        <f t="shared" si="1"/>
        <v>0</v>
      </c>
    </row>
    <row r="62" spans="1:3" x14ac:dyDescent="0.35">
      <c r="C62" s="20">
        <f t="shared" si="1"/>
        <v>0</v>
      </c>
    </row>
    <row r="63" spans="1:3" x14ac:dyDescent="0.35">
      <c r="C63" s="20">
        <f t="shared" si="1"/>
        <v>0</v>
      </c>
    </row>
    <row r="64" spans="1:3" x14ac:dyDescent="0.35">
      <c r="C64" s="20">
        <f t="shared" si="1"/>
        <v>0</v>
      </c>
    </row>
    <row r="65" spans="3:3" x14ac:dyDescent="0.35">
      <c r="C65" s="20">
        <f t="shared" si="1"/>
        <v>0</v>
      </c>
    </row>
    <row r="66" spans="3:3" x14ac:dyDescent="0.35">
      <c r="C66" s="20">
        <f t="shared" si="1"/>
        <v>0</v>
      </c>
    </row>
    <row r="67" spans="3:3" x14ac:dyDescent="0.35">
      <c r="C67" s="20">
        <f t="shared" si="1"/>
        <v>0</v>
      </c>
    </row>
  </sheetData>
  <mergeCells count="4">
    <mergeCell ref="A1:B2"/>
    <mergeCell ref="C1:K1"/>
    <mergeCell ref="C2:K2"/>
    <mergeCell ref="A4:M4"/>
  </mergeCell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6C62-83BF-4409-A50C-49C4BC040A71}">
  <dimension ref="B1:L14"/>
  <sheetViews>
    <sheetView showGridLines="0" topLeftCell="A4" workbookViewId="0">
      <selection activeCell="G7" sqref="G7"/>
    </sheetView>
  </sheetViews>
  <sheetFormatPr defaultRowHeight="14.5" x14ac:dyDescent="0.35"/>
  <cols>
    <col min="1" max="1" width="1.54296875" customWidth="1"/>
    <col min="2" max="2" width="12.54296875" customWidth="1"/>
    <col min="3" max="3" width="16.08984375" customWidth="1"/>
    <col min="4" max="4" width="27.1796875" customWidth="1"/>
    <col min="5" max="5" width="13.7265625" customWidth="1"/>
    <col min="6" max="6" width="21.1796875" customWidth="1"/>
    <col min="7" max="7" width="31" customWidth="1"/>
    <col min="8" max="8" width="15.26953125" customWidth="1"/>
    <col min="9" max="9" width="13.81640625" customWidth="1"/>
    <col min="10" max="11" width="13" customWidth="1"/>
    <col min="12" max="12" width="11.26953125" customWidth="1"/>
  </cols>
  <sheetData>
    <row r="1" spans="2:12" ht="21.5" thickBot="1" x14ac:dyDescent="0.4">
      <c r="B1" s="51" t="s">
        <v>0</v>
      </c>
      <c r="C1" s="53"/>
      <c r="D1" s="42" t="s">
        <v>3</v>
      </c>
      <c r="E1" s="43"/>
      <c r="F1" s="43"/>
      <c r="G1" s="43"/>
      <c r="H1" s="43"/>
      <c r="I1" s="43"/>
      <c r="J1" s="44"/>
      <c r="K1" s="1" t="s">
        <v>1</v>
      </c>
      <c r="L1" s="2">
        <v>0</v>
      </c>
    </row>
    <row r="2" spans="2:12" ht="24" thickBot="1" x14ac:dyDescent="0.4">
      <c r="B2" s="54"/>
      <c r="C2" s="56"/>
      <c r="D2" s="45" t="s">
        <v>4</v>
      </c>
      <c r="E2" s="46"/>
      <c r="F2" s="46"/>
      <c r="G2" s="46"/>
      <c r="H2" s="46"/>
      <c r="I2" s="46"/>
      <c r="J2" s="47"/>
      <c r="K2" s="1" t="s">
        <v>2</v>
      </c>
      <c r="L2" s="3">
        <v>45424</v>
      </c>
    </row>
    <row r="3" spans="2:12" ht="7.5" customHeight="1" x14ac:dyDescent="0.35"/>
    <row r="4" spans="2:12" ht="22.5" customHeight="1" x14ac:dyDescent="0.35">
      <c r="B4" s="48" t="s">
        <v>5</v>
      </c>
      <c r="C4" s="49"/>
      <c r="D4" s="49"/>
      <c r="E4" s="49"/>
      <c r="F4" s="49"/>
      <c r="G4" s="49"/>
      <c r="H4" s="49"/>
      <c r="I4" s="49"/>
      <c r="J4" s="49"/>
      <c r="K4" s="49"/>
      <c r="L4" s="50"/>
    </row>
    <row r="5" spans="2:12" ht="15" thickBot="1" x14ac:dyDescent="0.4">
      <c r="B5" t="s">
        <v>20</v>
      </c>
    </row>
    <row r="6" spans="2:12" s="5" customFormat="1" ht="29.5" thickBot="1" x14ac:dyDescent="0.4">
      <c r="B6" s="6" t="s">
        <v>13</v>
      </c>
      <c r="C6" s="7" t="s">
        <v>8</v>
      </c>
      <c r="D6" s="7" t="s">
        <v>9</v>
      </c>
      <c r="E6" s="66" t="s">
        <v>11</v>
      </c>
      <c r="F6" s="66"/>
      <c r="G6" s="7" t="s">
        <v>14</v>
      </c>
      <c r="H6" s="7" t="s">
        <v>15</v>
      </c>
      <c r="I6" s="8" t="s">
        <v>16</v>
      </c>
      <c r="J6" s="8" t="s">
        <v>17</v>
      </c>
      <c r="K6" s="8" t="s">
        <v>18</v>
      </c>
      <c r="L6" s="9" t="s">
        <v>19</v>
      </c>
    </row>
    <row r="7" spans="2:12" s="4" customFormat="1" ht="29" x14ac:dyDescent="0.35">
      <c r="B7" s="63"/>
      <c r="C7" s="59"/>
      <c r="D7" s="64"/>
      <c r="E7" s="10" t="s">
        <v>12</v>
      </c>
      <c r="F7" s="11"/>
      <c r="G7" s="11"/>
      <c r="H7" s="12"/>
      <c r="I7" s="12"/>
      <c r="J7" s="12"/>
      <c r="K7" s="12"/>
      <c r="L7" s="13"/>
    </row>
    <row r="8" spans="2:12" s="4" customFormat="1" ht="29.5" thickBot="1" x14ac:dyDescent="0.4">
      <c r="B8" s="58"/>
      <c r="C8" s="60"/>
      <c r="D8" s="65"/>
      <c r="E8" s="14" t="s">
        <v>10</v>
      </c>
      <c r="F8" s="15"/>
      <c r="G8" s="15"/>
      <c r="H8" s="16"/>
      <c r="I8" s="16"/>
      <c r="J8" s="16"/>
      <c r="K8" s="16"/>
      <c r="L8" s="17"/>
    </row>
    <row r="9" spans="2:12" s="4" customFormat="1" ht="29" x14ac:dyDescent="0.35">
      <c r="B9" s="57"/>
      <c r="C9" s="59"/>
      <c r="D9" s="61"/>
      <c r="E9" s="10" t="s">
        <v>12</v>
      </c>
      <c r="F9" s="11"/>
      <c r="G9" s="11"/>
      <c r="H9" s="12"/>
      <c r="I9" s="12"/>
      <c r="J9" s="12"/>
      <c r="K9" s="12"/>
      <c r="L9" s="13"/>
    </row>
    <row r="10" spans="2:12" s="4" customFormat="1" ht="29.5" thickBot="1" x14ac:dyDescent="0.4">
      <c r="B10" s="58"/>
      <c r="C10" s="60"/>
      <c r="D10" s="62"/>
      <c r="E10" s="14" t="s">
        <v>10</v>
      </c>
      <c r="F10" s="15"/>
      <c r="G10" s="15"/>
      <c r="H10" s="16"/>
      <c r="I10" s="16"/>
      <c r="J10" s="16"/>
      <c r="K10" s="16"/>
      <c r="L10" s="17"/>
    </row>
    <row r="11" spans="2:12" s="4" customFormat="1" ht="29" x14ac:dyDescent="0.35">
      <c r="B11" s="57"/>
      <c r="C11" s="59"/>
      <c r="D11" s="61"/>
      <c r="E11" s="10" t="s">
        <v>12</v>
      </c>
      <c r="F11" s="11"/>
      <c r="G11" s="11"/>
      <c r="H11" s="12"/>
      <c r="I11" s="12"/>
      <c r="J11" s="12"/>
      <c r="K11" s="12"/>
      <c r="L11" s="13"/>
    </row>
    <row r="12" spans="2:12" s="4" customFormat="1" ht="29.5" thickBot="1" x14ac:dyDescent="0.4">
      <c r="B12" s="58"/>
      <c r="C12" s="60"/>
      <c r="D12" s="62"/>
      <c r="E12" s="14" t="s">
        <v>10</v>
      </c>
      <c r="F12" s="15"/>
      <c r="G12" s="15"/>
      <c r="H12" s="16"/>
      <c r="I12" s="16"/>
      <c r="J12" s="16"/>
      <c r="K12" s="16"/>
      <c r="L12" s="17"/>
    </row>
    <row r="13" spans="2:12" s="4" customFormat="1" ht="29" x14ac:dyDescent="0.35">
      <c r="B13" s="57"/>
      <c r="C13" s="59"/>
      <c r="D13" s="61"/>
      <c r="E13" s="10" t="s">
        <v>12</v>
      </c>
      <c r="F13" s="11"/>
      <c r="G13" s="11"/>
      <c r="H13" s="12"/>
      <c r="I13" s="12"/>
      <c r="J13" s="12"/>
      <c r="K13" s="12"/>
      <c r="L13" s="13"/>
    </row>
    <row r="14" spans="2:12" s="4" customFormat="1" ht="29.5" thickBot="1" x14ac:dyDescent="0.4">
      <c r="B14" s="58"/>
      <c r="C14" s="60"/>
      <c r="D14" s="62"/>
      <c r="E14" s="14" t="s">
        <v>10</v>
      </c>
      <c r="F14" s="15"/>
      <c r="G14" s="15"/>
      <c r="H14" s="16"/>
      <c r="I14" s="16"/>
      <c r="J14" s="16"/>
      <c r="K14" s="16"/>
      <c r="L14" s="17"/>
    </row>
  </sheetData>
  <mergeCells count="17">
    <mergeCell ref="D11:D12"/>
    <mergeCell ref="C11:C12"/>
    <mergeCell ref="B11:B12"/>
    <mergeCell ref="B13:B14"/>
    <mergeCell ref="C13:C14"/>
    <mergeCell ref="D13:D14"/>
    <mergeCell ref="B9:B10"/>
    <mergeCell ref="C9:C10"/>
    <mergeCell ref="D9:D10"/>
    <mergeCell ref="D1:J1"/>
    <mergeCell ref="D2:J2"/>
    <mergeCell ref="B7:B8"/>
    <mergeCell ref="C7:C8"/>
    <mergeCell ref="D7:D8"/>
    <mergeCell ref="B1:C2"/>
    <mergeCell ref="B4:L4"/>
    <mergeCell ref="E6:F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34CB-AC7F-4EC3-AAB2-B26FAA618B8C}">
  <dimension ref="A1:U80"/>
  <sheetViews>
    <sheetView showGridLines="0" zoomScale="70" zoomScaleNormal="70" workbookViewId="0">
      <selection activeCell="F30" sqref="F30"/>
    </sheetView>
  </sheetViews>
  <sheetFormatPr defaultRowHeight="14.5" x14ac:dyDescent="0.35"/>
  <cols>
    <col min="1" max="1" width="21.81640625" bestFit="1" customWidth="1"/>
    <col min="2" max="2" width="17" customWidth="1"/>
    <col min="3" max="3" width="20.453125" style="4" customWidth="1"/>
    <col min="4" max="4" width="40.81640625" style="39" bestFit="1" customWidth="1"/>
    <col min="5" max="5" width="15.26953125" customWidth="1"/>
    <col min="6" max="6" width="39.36328125" customWidth="1"/>
    <col min="7" max="7" width="10.54296875" customWidth="1"/>
    <col min="8" max="8" width="34.81640625" bestFit="1" customWidth="1"/>
    <col min="9" max="9" width="30.26953125" customWidth="1"/>
    <col min="10" max="10" width="20" customWidth="1"/>
    <col min="11" max="11" width="36" bestFit="1" customWidth="1"/>
    <col min="12" max="12" width="33.54296875" bestFit="1" customWidth="1"/>
    <col min="13" max="13" width="29.1796875" customWidth="1"/>
    <col min="14" max="14" width="23.7265625" customWidth="1"/>
    <col min="15" max="15" width="20.6328125" customWidth="1"/>
    <col min="16" max="16" width="22.36328125" customWidth="1"/>
    <col min="17" max="17" width="19.1796875" customWidth="1"/>
    <col min="18" max="18" width="29.08984375" customWidth="1"/>
    <col min="19" max="19" width="23.08984375" customWidth="1"/>
    <col min="20" max="20" width="17.81640625" customWidth="1"/>
    <col min="21" max="21" width="14.6328125" customWidth="1"/>
  </cols>
  <sheetData>
    <row r="1" spans="1:21" ht="21.5" thickBot="1" x14ac:dyDescent="0.4">
      <c r="A1" s="51" t="s">
        <v>0</v>
      </c>
      <c r="B1" s="53"/>
      <c r="C1" s="42" t="s">
        <v>3</v>
      </c>
      <c r="D1" s="43"/>
      <c r="E1" s="43"/>
      <c r="F1" s="43"/>
      <c r="G1" s="43"/>
      <c r="H1" s="43"/>
      <c r="I1" s="43"/>
      <c r="J1" s="43"/>
      <c r="K1" s="43"/>
      <c r="L1" s="44"/>
      <c r="M1" s="1" t="s">
        <v>1</v>
      </c>
      <c r="N1" s="2">
        <v>0</v>
      </c>
    </row>
    <row r="2" spans="1:21" ht="24" thickBot="1" x14ac:dyDescent="0.4">
      <c r="A2" s="54"/>
      <c r="B2" s="56"/>
      <c r="C2" s="45" t="s">
        <v>4</v>
      </c>
      <c r="D2" s="46"/>
      <c r="E2" s="46"/>
      <c r="F2" s="46"/>
      <c r="G2" s="46"/>
      <c r="H2" s="46"/>
      <c r="I2" s="46"/>
      <c r="J2" s="46"/>
      <c r="K2" s="46"/>
      <c r="L2" s="47"/>
      <c r="M2" s="1" t="s">
        <v>2</v>
      </c>
      <c r="N2" s="3">
        <v>45424</v>
      </c>
    </row>
    <row r="3" spans="1:21" ht="7.5" customHeight="1" x14ac:dyDescent="0.35"/>
    <row r="4" spans="1:21" ht="22.5" customHeight="1" x14ac:dyDescent="0.35">
      <c r="A4" s="48" t="s">
        <v>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</row>
    <row r="5" spans="1:21" x14ac:dyDescent="0.35">
      <c r="C5"/>
      <c r="D5"/>
    </row>
    <row r="6" spans="1:21" x14ac:dyDescent="0.35">
      <c r="C6"/>
      <c r="D6"/>
    </row>
    <row r="7" spans="1:21" ht="21.5" thickBot="1" x14ac:dyDescent="0.55000000000000004">
      <c r="C7"/>
      <c r="D7"/>
      <c r="I7" s="26"/>
    </row>
    <row r="8" spans="1:21" ht="21" x14ac:dyDescent="0.35">
      <c r="A8" s="27" t="s">
        <v>27</v>
      </c>
      <c r="B8" s="29" t="s">
        <v>87</v>
      </c>
      <c r="C8" s="22" t="s">
        <v>71</v>
      </c>
      <c r="D8" s="27" t="s">
        <v>89</v>
      </c>
      <c r="E8" s="27" t="s">
        <v>33</v>
      </c>
      <c r="F8" s="21" t="s">
        <v>88</v>
      </c>
      <c r="H8" s="40" t="s">
        <v>102</v>
      </c>
      <c r="I8" s="40" t="s">
        <v>103</v>
      </c>
      <c r="J8" s="40" t="s">
        <v>104</v>
      </c>
      <c r="K8" s="40" t="s">
        <v>198</v>
      </c>
      <c r="L8" s="40" t="s">
        <v>199</v>
      </c>
      <c r="M8" s="40" t="s">
        <v>200</v>
      </c>
      <c r="N8" s="40" t="s">
        <v>201</v>
      </c>
      <c r="O8" s="40" t="s">
        <v>202</v>
      </c>
      <c r="P8" s="40" t="s">
        <v>203</v>
      </c>
      <c r="Q8" s="40" t="s">
        <v>204</v>
      </c>
      <c r="R8" s="40" t="s">
        <v>207</v>
      </c>
      <c r="S8" s="40" t="s">
        <v>205</v>
      </c>
      <c r="T8" s="40" t="s">
        <v>206</v>
      </c>
      <c r="U8" s="40" t="s">
        <v>105</v>
      </c>
    </row>
    <row r="9" spans="1:21" ht="21" x14ac:dyDescent="0.5">
      <c r="A9" s="28" t="s">
        <v>60</v>
      </c>
      <c r="B9" s="30" t="s">
        <v>39</v>
      </c>
      <c r="C9" s="24" t="s">
        <v>37</v>
      </c>
      <c r="D9" s="32" t="s">
        <v>90</v>
      </c>
      <c r="E9" s="28" t="s">
        <v>106</v>
      </c>
      <c r="F9" s="23" t="s">
        <v>102</v>
      </c>
      <c r="H9" s="23" t="s">
        <v>117</v>
      </c>
      <c r="I9" s="23" t="s">
        <v>109</v>
      </c>
      <c r="J9" s="23" t="s">
        <v>144</v>
      </c>
      <c r="K9" s="23" t="s">
        <v>145</v>
      </c>
      <c r="L9" s="23" t="s">
        <v>153</v>
      </c>
      <c r="M9" s="23" t="s">
        <v>155</v>
      </c>
      <c r="N9" s="23" t="s">
        <v>162</v>
      </c>
      <c r="O9" s="23" t="s">
        <v>164</v>
      </c>
      <c r="P9" s="23" t="s">
        <v>166</v>
      </c>
      <c r="Q9" s="23" t="s">
        <v>168</v>
      </c>
      <c r="R9" s="23" t="s">
        <v>170</v>
      </c>
      <c r="S9" s="23" t="s">
        <v>172</v>
      </c>
      <c r="T9" s="23" t="s">
        <v>179</v>
      </c>
      <c r="U9" s="23" t="s">
        <v>183</v>
      </c>
    </row>
    <row r="10" spans="1:21" ht="21" x14ac:dyDescent="0.5">
      <c r="A10" s="28" t="s">
        <v>38</v>
      </c>
      <c r="B10" s="31" t="s">
        <v>55</v>
      </c>
      <c r="C10" s="25" t="s">
        <v>61</v>
      </c>
      <c r="D10" s="28" t="s">
        <v>91</v>
      </c>
      <c r="E10" s="28" t="s">
        <v>107</v>
      </c>
      <c r="F10" s="23" t="s">
        <v>103</v>
      </c>
      <c r="H10" s="23" t="s">
        <v>118</v>
      </c>
      <c r="I10" s="23" t="s">
        <v>110</v>
      </c>
      <c r="J10" s="23"/>
      <c r="K10" s="23" t="s">
        <v>146</v>
      </c>
      <c r="L10" s="23" t="s">
        <v>154</v>
      </c>
      <c r="M10" s="23" t="s">
        <v>156</v>
      </c>
      <c r="N10" s="23" t="s">
        <v>163</v>
      </c>
      <c r="O10" s="23" t="s">
        <v>165</v>
      </c>
      <c r="P10" s="23" t="s">
        <v>167</v>
      </c>
      <c r="Q10" s="23" t="s">
        <v>169</v>
      </c>
      <c r="R10" s="23" t="s">
        <v>171</v>
      </c>
      <c r="S10" s="23" t="s">
        <v>173</v>
      </c>
      <c r="T10" s="23" t="s">
        <v>195</v>
      </c>
      <c r="U10" s="23" t="s">
        <v>184</v>
      </c>
    </row>
    <row r="11" spans="1:21" ht="21" x14ac:dyDescent="0.5">
      <c r="A11" s="28"/>
      <c r="B11" s="23"/>
      <c r="C11" s="28"/>
      <c r="D11" s="28" t="s">
        <v>92</v>
      </c>
      <c r="E11" s="28" t="s">
        <v>108</v>
      </c>
      <c r="F11" s="23" t="s">
        <v>104</v>
      </c>
      <c r="H11" s="23" t="s">
        <v>119</v>
      </c>
      <c r="I11" s="23" t="s">
        <v>111</v>
      </c>
      <c r="J11" s="23"/>
      <c r="K11" s="23" t="s">
        <v>147</v>
      </c>
      <c r="L11" s="23"/>
      <c r="M11" s="23" t="s">
        <v>157</v>
      </c>
      <c r="N11" s="23" t="s">
        <v>189</v>
      </c>
      <c r="O11" s="23" t="s">
        <v>192</v>
      </c>
      <c r="P11" s="23"/>
      <c r="Q11" s="23"/>
      <c r="R11" s="23"/>
      <c r="S11" s="23" t="s">
        <v>174</v>
      </c>
      <c r="T11" s="23" t="s">
        <v>180</v>
      </c>
      <c r="U11" s="23" t="s">
        <v>185</v>
      </c>
    </row>
    <row r="12" spans="1:21" ht="21" x14ac:dyDescent="0.5">
      <c r="A12" s="28"/>
      <c r="B12" s="23"/>
      <c r="C12" s="28"/>
      <c r="D12" s="28" t="s">
        <v>93</v>
      </c>
      <c r="E12" s="28"/>
      <c r="F12" s="23" t="s">
        <v>198</v>
      </c>
      <c r="H12" s="23" t="s">
        <v>120</v>
      </c>
      <c r="I12" s="23" t="s">
        <v>112</v>
      </c>
      <c r="J12" s="23"/>
      <c r="K12" s="23" t="s">
        <v>148</v>
      </c>
      <c r="L12" s="23"/>
      <c r="M12" s="23" t="s">
        <v>158</v>
      </c>
      <c r="N12" s="23" t="s">
        <v>190</v>
      </c>
      <c r="O12" s="23" t="s">
        <v>193</v>
      </c>
      <c r="P12" s="23"/>
      <c r="Q12" s="23"/>
      <c r="R12" s="23"/>
      <c r="S12" s="23" t="s">
        <v>175</v>
      </c>
      <c r="T12" s="23" t="s">
        <v>181</v>
      </c>
      <c r="U12" s="23" t="s">
        <v>186</v>
      </c>
    </row>
    <row r="13" spans="1:21" ht="21" x14ac:dyDescent="0.5">
      <c r="A13" s="28"/>
      <c r="B13" s="23"/>
      <c r="C13" s="28"/>
      <c r="D13" s="28" t="s">
        <v>94</v>
      </c>
      <c r="E13" s="28"/>
      <c r="F13" s="23" t="s">
        <v>199</v>
      </c>
      <c r="H13" s="23" t="s">
        <v>121</v>
      </c>
      <c r="I13" s="23" t="s">
        <v>113</v>
      </c>
      <c r="J13" s="23"/>
      <c r="K13" s="23" t="s">
        <v>149</v>
      </c>
      <c r="L13" s="23"/>
      <c r="M13" s="23" t="s">
        <v>159</v>
      </c>
      <c r="N13" s="23" t="s">
        <v>191</v>
      </c>
      <c r="O13" s="23" t="s">
        <v>194</v>
      </c>
      <c r="P13" s="23"/>
      <c r="Q13" s="23"/>
      <c r="R13" s="23"/>
      <c r="S13" s="23" t="s">
        <v>176</v>
      </c>
      <c r="T13" s="23" t="s">
        <v>182</v>
      </c>
      <c r="U13" s="23" t="s">
        <v>187</v>
      </c>
    </row>
    <row r="14" spans="1:21" ht="21" x14ac:dyDescent="0.5">
      <c r="A14" s="28"/>
      <c r="B14" s="23"/>
      <c r="C14" s="28"/>
      <c r="D14" s="28" t="s">
        <v>95</v>
      </c>
      <c r="E14" s="28"/>
      <c r="F14" s="23" t="s">
        <v>200</v>
      </c>
      <c r="H14" s="23" t="s">
        <v>122</v>
      </c>
      <c r="I14" s="23" t="s">
        <v>114</v>
      </c>
      <c r="J14" s="23"/>
      <c r="K14" s="23" t="s">
        <v>150</v>
      </c>
      <c r="L14" s="23"/>
      <c r="M14" s="23" t="s">
        <v>160</v>
      </c>
      <c r="N14" s="23"/>
      <c r="O14" s="23"/>
      <c r="P14" s="23"/>
      <c r="Q14" s="23"/>
      <c r="R14" s="23"/>
      <c r="S14" s="23" t="s">
        <v>177</v>
      </c>
      <c r="T14" s="23" t="s">
        <v>196</v>
      </c>
      <c r="U14" s="23" t="s">
        <v>188</v>
      </c>
    </row>
    <row r="15" spans="1:21" ht="21" x14ac:dyDescent="0.5">
      <c r="A15" s="28"/>
      <c r="B15" s="23"/>
      <c r="C15" s="28"/>
      <c r="D15" s="28" t="s">
        <v>96</v>
      </c>
      <c r="E15" s="28"/>
      <c r="F15" s="23" t="s">
        <v>201</v>
      </c>
      <c r="H15" s="23" t="s">
        <v>123</v>
      </c>
      <c r="I15" s="23" t="s">
        <v>115</v>
      </c>
      <c r="J15" s="23"/>
      <c r="K15" s="23" t="s">
        <v>151</v>
      </c>
      <c r="L15" s="23"/>
      <c r="M15" s="23" t="s">
        <v>161</v>
      </c>
      <c r="N15" s="23"/>
      <c r="O15" s="23"/>
      <c r="P15" s="23"/>
      <c r="Q15" s="23"/>
      <c r="R15" s="23"/>
      <c r="S15" s="23" t="s">
        <v>178</v>
      </c>
      <c r="T15" s="23" t="s">
        <v>197</v>
      </c>
      <c r="U15" s="23"/>
    </row>
    <row r="16" spans="1:21" ht="21" x14ac:dyDescent="0.5">
      <c r="A16" s="28"/>
      <c r="B16" s="23"/>
      <c r="C16" s="28"/>
      <c r="D16" s="28" t="s">
        <v>97</v>
      </c>
      <c r="E16" s="28"/>
      <c r="F16" s="23" t="s">
        <v>202</v>
      </c>
      <c r="G16" s="23"/>
      <c r="H16" s="23" t="s">
        <v>124</v>
      </c>
      <c r="I16" s="23" t="s">
        <v>116</v>
      </c>
      <c r="J16" s="23"/>
      <c r="K16" s="23" t="s">
        <v>152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spans="1:11" ht="21" x14ac:dyDescent="0.5">
      <c r="A17" s="28"/>
      <c r="B17" s="23"/>
      <c r="C17" s="28"/>
      <c r="D17" s="28" t="s">
        <v>98</v>
      </c>
      <c r="E17" s="28"/>
      <c r="F17" s="23" t="s">
        <v>203</v>
      </c>
      <c r="G17" s="23"/>
      <c r="H17" t="s">
        <v>125</v>
      </c>
    </row>
    <row r="18" spans="1:11" ht="21" x14ac:dyDescent="0.5">
      <c r="A18" s="28"/>
      <c r="B18" s="23"/>
      <c r="C18" s="28"/>
      <c r="D18" s="28" t="s">
        <v>99</v>
      </c>
      <c r="E18" s="28"/>
      <c r="F18" s="23" t="s">
        <v>204</v>
      </c>
      <c r="G18" s="23"/>
      <c r="H18" t="s">
        <v>126</v>
      </c>
    </row>
    <row r="19" spans="1:11" ht="21" x14ac:dyDescent="0.5">
      <c r="A19" s="28"/>
      <c r="B19" s="23"/>
      <c r="C19" s="28"/>
      <c r="D19" s="28"/>
      <c r="E19" s="28"/>
      <c r="F19" s="23" t="s">
        <v>207</v>
      </c>
      <c r="G19" s="23"/>
      <c r="H19" t="s">
        <v>127</v>
      </c>
    </row>
    <row r="20" spans="1:11" ht="21" x14ac:dyDescent="0.5">
      <c r="A20" s="28"/>
      <c r="B20" s="23"/>
      <c r="C20" s="28"/>
      <c r="D20" s="28"/>
      <c r="E20" s="28"/>
      <c r="F20" s="23" t="s">
        <v>205</v>
      </c>
      <c r="G20" s="23"/>
      <c r="H20" t="s">
        <v>128</v>
      </c>
      <c r="K20" s="23"/>
    </row>
    <row r="21" spans="1:11" ht="21" x14ac:dyDescent="0.5">
      <c r="A21" s="28"/>
      <c r="B21" s="23"/>
      <c r="C21" s="28"/>
      <c r="D21" s="28"/>
      <c r="E21" s="28"/>
      <c r="F21" s="23" t="s">
        <v>206</v>
      </c>
      <c r="G21" s="23"/>
      <c r="H21" t="s">
        <v>129</v>
      </c>
      <c r="K21" s="23"/>
    </row>
    <row r="22" spans="1:11" ht="21" x14ac:dyDescent="0.5">
      <c r="A22" s="28"/>
      <c r="B22" s="23"/>
      <c r="C22" s="28"/>
      <c r="D22" s="28"/>
      <c r="E22" s="28"/>
      <c r="F22" s="23" t="s">
        <v>105</v>
      </c>
      <c r="G22" s="23"/>
      <c r="H22" t="s">
        <v>130</v>
      </c>
      <c r="K22" s="23"/>
    </row>
    <row r="23" spans="1:11" ht="21" x14ac:dyDescent="0.5">
      <c r="A23" s="28"/>
      <c r="B23" s="23"/>
      <c r="C23" s="28"/>
      <c r="D23" s="28"/>
      <c r="E23" s="28"/>
      <c r="F23" s="23"/>
      <c r="G23" s="23"/>
      <c r="H23" t="s">
        <v>131</v>
      </c>
      <c r="K23" s="23"/>
    </row>
    <row r="24" spans="1:11" ht="21" x14ac:dyDescent="0.5">
      <c r="C24"/>
      <c r="D24"/>
      <c r="H24" t="s">
        <v>132</v>
      </c>
      <c r="K24" s="23"/>
    </row>
    <row r="25" spans="1:11" ht="21" x14ac:dyDescent="0.5">
      <c r="C25"/>
      <c r="D25"/>
      <c r="H25" t="s">
        <v>133</v>
      </c>
      <c r="K25" s="23"/>
    </row>
    <row r="26" spans="1:11" ht="21" x14ac:dyDescent="0.5">
      <c r="C26"/>
      <c r="D26"/>
      <c r="H26" t="s">
        <v>134</v>
      </c>
      <c r="K26" s="23"/>
    </row>
    <row r="27" spans="1:11" ht="21" x14ac:dyDescent="0.5">
      <c r="C27"/>
      <c r="D27"/>
      <c r="H27" t="s">
        <v>135</v>
      </c>
      <c r="K27" s="23"/>
    </row>
    <row r="28" spans="1:11" x14ac:dyDescent="0.35">
      <c r="C28"/>
      <c r="D28"/>
      <c r="H28" t="s">
        <v>136</v>
      </c>
    </row>
    <row r="29" spans="1:11" x14ac:dyDescent="0.35">
      <c r="C29"/>
      <c r="D29"/>
      <c r="H29" t="s">
        <v>137</v>
      </c>
    </row>
    <row r="30" spans="1:11" x14ac:dyDescent="0.35">
      <c r="C30"/>
      <c r="D30"/>
      <c r="H30" t="s">
        <v>138</v>
      </c>
    </row>
    <row r="31" spans="1:11" x14ac:dyDescent="0.35">
      <c r="C31"/>
      <c r="D31"/>
      <c r="H31" t="s">
        <v>139</v>
      </c>
    </row>
    <row r="32" spans="1:11" x14ac:dyDescent="0.35">
      <c r="C32"/>
      <c r="D32"/>
      <c r="H32" t="s">
        <v>140</v>
      </c>
    </row>
    <row r="33" spans="3:8" x14ac:dyDescent="0.35">
      <c r="C33"/>
      <c r="D33"/>
      <c r="H33" t="s">
        <v>141</v>
      </c>
    </row>
    <row r="34" spans="3:8" x14ac:dyDescent="0.35">
      <c r="C34"/>
      <c r="D34"/>
      <c r="H34" t="s">
        <v>142</v>
      </c>
    </row>
    <row r="35" spans="3:8" x14ac:dyDescent="0.35">
      <c r="C35"/>
      <c r="D35"/>
      <c r="H35" t="s">
        <v>143</v>
      </c>
    </row>
    <row r="36" spans="3:8" x14ac:dyDescent="0.35">
      <c r="C36"/>
      <c r="D36"/>
    </row>
    <row r="37" spans="3:8" x14ac:dyDescent="0.35">
      <c r="C37"/>
      <c r="D37"/>
    </row>
    <row r="38" spans="3:8" x14ac:dyDescent="0.35">
      <c r="C38"/>
      <c r="D38"/>
    </row>
    <row r="39" spans="3:8" x14ac:dyDescent="0.35">
      <c r="C39"/>
      <c r="D39"/>
    </row>
    <row r="40" spans="3:8" x14ac:dyDescent="0.35">
      <c r="C40"/>
      <c r="D40"/>
    </row>
    <row r="41" spans="3:8" x14ac:dyDescent="0.35">
      <c r="C41"/>
      <c r="D41"/>
    </row>
    <row r="42" spans="3:8" x14ac:dyDescent="0.35">
      <c r="C42"/>
      <c r="D42"/>
    </row>
    <row r="43" spans="3:8" x14ac:dyDescent="0.35">
      <c r="C43"/>
      <c r="D43"/>
    </row>
    <row r="44" spans="3:8" x14ac:dyDescent="0.35">
      <c r="C44"/>
      <c r="D44"/>
    </row>
    <row r="45" spans="3:8" x14ac:dyDescent="0.35">
      <c r="C45"/>
      <c r="D45"/>
    </row>
    <row r="46" spans="3:8" x14ac:dyDescent="0.35">
      <c r="C46"/>
      <c r="D46"/>
    </row>
    <row r="47" spans="3:8" x14ac:dyDescent="0.35">
      <c r="C47"/>
      <c r="D47"/>
    </row>
    <row r="48" spans="3:8" x14ac:dyDescent="0.35">
      <c r="C48"/>
      <c r="D48"/>
    </row>
    <row r="49" spans="3:4" x14ac:dyDescent="0.35">
      <c r="C49"/>
      <c r="D49"/>
    </row>
    <row r="50" spans="3:4" x14ac:dyDescent="0.35">
      <c r="C50"/>
      <c r="D50"/>
    </row>
    <row r="51" spans="3:4" x14ac:dyDescent="0.35">
      <c r="C51"/>
      <c r="D51"/>
    </row>
    <row r="52" spans="3:4" x14ac:dyDescent="0.35">
      <c r="C52"/>
      <c r="D52"/>
    </row>
    <row r="53" spans="3:4" x14ac:dyDescent="0.35">
      <c r="C53"/>
      <c r="D53"/>
    </row>
    <row r="54" spans="3:4" x14ac:dyDescent="0.35">
      <c r="C54"/>
      <c r="D54"/>
    </row>
    <row r="55" spans="3:4" x14ac:dyDescent="0.35">
      <c r="C55"/>
      <c r="D55"/>
    </row>
    <row r="56" spans="3:4" x14ac:dyDescent="0.35">
      <c r="C56"/>
      <c r="D56"/>
    </row>
    <row r="57" spans="3:4" x14ac:dyDescent="0.35">
      <c r="C57"/>
      <c r="D57"/>
    </row>
    <row r="58" spans="3:4" x14ac:dyDescent="0.35">
      <c r="C58"/>
      <c r="D58"/>
    </row>
    <row r="59" spans="3:4" x14ac:dyDescent="0.35">
      <c r="C59"/>
      <c r="D59"/>
    </row>
    <row r="60" spans="3:4" x14ac:dyDescent="0.35">
      <c r="C60"/>
      <c r="D60"/>
    </row>
    <row r="61" spans="3:4" x14ac:dyDescent="0.35">
      <c r="C61"/>
      <c r="D61"/>
    </row>
    <row r="62" spans="3:4" x14ac:dyDescent="0.35">
      <c r="C62"/>
      <c r="D62"/>
    </row>
    <row r="63" spans="3:4" x14ac:dyDescent="0.35">
      <c r="C63"/>
      <c r="D63"/>
    </row>
    <row r="64" spans="3:4" x14ac:dyDescent="0.35">
      <c r="C64"/>
      <c r="D64"/>
    </row>
    <row r="65" spans="3:4" x14ac:dyDescent="0.35">
      <c r="C65"/>
      <c r="D65"/>
    </row>
    <row r="66" spans="3:4" x14ac:dyDescent="0.35">
      <c r="C66"/>
      <c r="D66"/>
    </row>
    <row r="67" spans="3:4" x14ac:dyDescent="0.35">
      <c r="C67"/>
      <c r="D67"/>
    </row>
    <row r="68" spans="3:4" x14ac:dyDescent="0.35">
      <c r="C68"/>
      <c r="D68"/>
    </row>
    <row r="69" spans="3:4" x14ac:dyDescent="0.35">
      <c r="C69"/>
      <c r="D69"/>
    </row>
    <row r="70" spans="3:4" x14ac:dyDescent="0.35">
      <c r="C70"/>
      <c r="D70"/>
    </row>
    <row r="71" spans="3:4" x14ac:dyDescent="0.35">
      <c r="C71"/>
      <c r="D71"/>
    </row>
    <row r="72" spans="3:4" x14ac:dyDescent="0.35">
      <c r="C72"/>
      <c r="D72"/>
    </row>
    <row r="73" spans="3:4" x14ac:dyDescent="0.35">
      <c r="C73"/>
      <c r="D73"/>
    </row>
    <row r="74" spans="3:4" x14ac:dyDescent="0.35">
      <c r="C74"/>
      <c r="D74"/>
    </row>
    <row r="75" spans="3:4" x14ac:dyDescent="0.35">
      <c r="C75"/>
      <c r="D75"/>
    </row>
    <row r="76" spans="3:4" x14ac:dyDescent="0.35">
      <c r="C76"/>
      <c r="D76"/>
    </row>
    <row r="77" spans="3:4" x14ac:dyDescent="0.35">
      <c r="C77"/>
      <c r="D77"/>
    </row>
    <row r="78" spans="3:4" x14ac:dyDescent="0.35">
      <c r="C78"/>
      <c r="D78"/>
    </row>
    <row r="79" spans="3:4" x14ac:dyDescent="0.35">
      <c r="C79"/>
      <c r="D79"/>
    </row>
    <row r="80" spans="3:4" x14ac:dyDescent="0.35">
      <c r="C80"/>
      <c r="D80"/>
    </row>
  </sheetData>
  <mergeCells count="4">
    <mergeCell ref="A1:B2"/>
    <mergeCell ref="C1:L1"/>
    <mergeCell ref="C2:L2"/>
    <mergeCell ref="A4:N4"/>
  </mergeCells>
  <phoneticPr fontId="11" type="noConversion"/>
  <conditionalFormatting sqref="B9">
    <cfRule type="cellIs" dxfId="2" priority="4" operator="equal">
      <formula>"Terminer"</formula>
    </cfRule>
  </conditionalFormatting>
  <conditionalFormatting sqref="B10">
    <cfRule type="cellIs" dxfId="1" priority="2" operator="equal">
      <formula>"En cours"</formula>
    </cfRule>
  </conditionalFormatting>
  <conditionalFormatting sqref="C9:D9">
    <cfRule type="cellIs" dxfId="0" priority="3" operator="equal">
      <formula>"Terminer"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863E5F8E384B9ACE568C83A00093" ma:contentTypeVersion="14" ma:contentTypeDescription="Create a new document." ma:contentTypeScope="" ma:versionID="88efeb51c8fee0ebdd0f864f037aa3cb">
  <xsd:schema xmlns:xsd="http://www.w3.org/2001/XMLSchema" xmlns:xs="http://www.w3.org/2001/XMLSchema" xmlns:p="http://schemas.microsoft.com/office/2006/metadata/properties" xmlns:ns2="8c9b50b2-3577-462d-8987-db6eaebf117e" xmlns:ns3="28b1e389-4449-4236-aacb-f253050a2458" targetNamespace="http://schemas.microsoft.com/office/2006/metadata/properties" ma:root="true" ma:fieldsID="135cad48760612477741b85d88499a7d" ns2:_="" ns3:_="">
    <xsd:import namespace="8c9b50b2-3577-462d-8987-db6eaebf117e"/>
    <xsd:import namespace="28b1e389-4449-4236-aacb-f253050a24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b50b2-3577-462d-8987-db6eaebf117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eb5bf52-95a1-45ed-bb20-d727be964741}" ma:internalName="TaxCatchAll" ma:showField="CatchAllData" ma:web="8c9b50b2-3577-462d-8987-db6eaebf11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1e389-4449-4236-aacb-f253050a2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e89e70-0365-4596-95bc-ed0240ed21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9b50b2-3577-462d-8987-db6eaebf117e" xsi:nil="true"/>
    <lcf76f155ced4ddcb4097134ff3c332f xmlns="28b1e389-4449-4236-aacb-f253050a24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A381C4-E389-4868-A341-71D0B10826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B97E42-CB03-413C-B9A7-1CF94596A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9b50b2-3577-462d-8987-db6eaebf117e"/>
    <ds:schemaRef ds:uri="28b1e389-4449-4236-aacb-f253050a24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420325-5892-45D5-A3E9-2507C2671F40}">
  <ds:schemaRefs>
    <ds:schemaRef ds:uri="http://schemas.microsoft.com/office/2006/metadata/properties"/>
    <ds:schemaRef ds:uri="http://schemas.microsoft.com/office/infopath/2007/PartnerControls"/>
    <ds:schemaRef ds:uri="8c9b50b2-3577-462d-8987-db6eaebf117e"/>
    <ds:schemaRef ds:uri="28b1e389-4449-4236-aacb-f253050a24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Recording</vt:lpstr>
      <vt:lpstr>Data analysis</vt:lpstr>
      <vt:lpstr>Action plan</vt:lpstr>
      <vt:lpstr>Donnée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Senouni, Khadija</dc:creator>
  <cp:lastModifiedBy>Ait Chaib, Othman</cp:lastModifiedBy>
  <dcterms:created xsi:type="dcterms:W3CDTF">2024-12-05T14:11:06Z</dcterms:created>
  <dcterms:modified xsi:type="dcterms:W3CDTF">2026-07-03T08:24:03Z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0x010100D125863E5F8E384B9ACE568C83A00093</vt:lpwstr>
  </property>
</Properties>
</file>