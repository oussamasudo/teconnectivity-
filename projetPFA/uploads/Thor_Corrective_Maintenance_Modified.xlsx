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harts/chart1.xml" ContentType="application/vnd.openxmlformats-officedocument.drawingml.char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758" firstSheet="0" activeTab="0" autoFilterDateGrouping="1"/>
  </bookViews>
  <sheets>
    <sheet xmlns:r="http://schemas.openxmlformats.org/officeDocument/2006/relationships" name="Recording" sheetId="1" state="visible" r:id="rId1"/>
    <sheet xmlns:r="http://schemas.openxmlformats.org/officeDocument/2006/relationships" name="Data analysis" sheetId="2" state="hidden" r:id="rId2"/>
    <sheet xmlns:r="http://schemas.openxmlformats.org/officeDocument/2006/relationships" name="Action plan" sheetId="3" state="visible" r:id="rId3"/>
    <sheet xmlns:r="http://schemas.openxmlformats.org/officeDocument/2006/relationships" name="Donnée" sheetId="4" state="hidden" r:id="rId4"/>
  </sheets>
  <externalReferences>
    <externalReference xmlns:r="http://schemas.openxmlformats.org/officeDocument/2006/relationships" r:id="rId6"/>
  </externalReferences>
  <definedNames>
    <definedName name="CCAO">#REF!</definedName>
    <definedName name="dia">#N/A</definedName>
    <definedName name="dial">#N/A</definedName>
    <definedName name="Kontr">#N/A</definedName>
    <definedName name="M">#N/A</definedName>
    <definedName name="NajdiaOznač">#N/A</definedName>
    <definedName name="NajdiaVymaž">#N/A</definedName>
    <definedName name="RESOLVERS">#REF!</definedName>
    <definedName name="TB">#REF!</definedName>
    <definedName name="TEMINAL_BLOC">#REF!</definedName>
    <definedName name="TERMINAL_BLOC">#REF!</definedName>
    <definedName name="TERMINAL8BLOC">#REF!</definedName>
    <definedName name="tisk">[1]!tisk</definedName>
    <definedName name="tisk_druhé_strany">[1]!tisk_druhé_strany</definedName>
    <definedName name="ZadáníCmk">#N/A</definedName>
    <definedName name="tisk" localSheetId="3">[1]!tisk</definedName>
    <definedName name="tisk_druhé_strany" localSheetId="3">[1]!tisk_druhé_strany</definedName>
  </definedNames>
  <calcPr calcId="191029" fullCalcOnLoad="1"/>
  <pivotCaches>
    <pivotCache xmlns:r="http://schemas.openxmlformats.org/officeDocument/2006/relationships" cacheId="0" r:id="rId5"/>
  </pivotCaches>
</workbook>
</file>

<file path=xl/styles.xml><?xml version="1.0" encoding="utf-8"?>
<styleSheet xmlns="http://schemas.openxmlformats.org/spreadsheetml/2006/main">
  <numFmts count="1">
    <numFmt numFmtId="164" formatCode="yyyy-mm-dd"/>
  </numFmts>
  <fonts count="12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1"/>
      <sz val="8"/>
      <scheme val="minor"/>
    </font>
    <font>
      <name val="Aptos Narrow"/>
      <family val="2"/>
      <b val="1"/>
      <color theme="1"/>
      <sz val="16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i val="1"/>
      <color theme="1"/>
      <sz val="14"/>
      <u val="single"/>
      <scheme val="minor"/>
    </font>
    <font>
      <name val="Aptos Narrow"/>
      <family val="2"/>
      <color theme="1"/>
      <sz val="11"/>
      <scheme val="minor"/>
    </font>
    <font>
      <name val="Aptos Narrow"/>
      <family val="2"/>
      <color theme="1"/>
      <sz val="16"/>
      <scheme val="minor"/>
    </font>
    <font>
      <name val="Aptos Narrow"/>
      <family val="2"/>
      <b val="1"/>
      <color theme="0"/>
      <sz val="16"/>
      <scheme val="minor"/>
    </font>
    <font>
      <name val="Calibri"/>
      <family val="2"/>
      <color rgb="FF000000"/>
      <sz val="16"/>
    </font>
    <font>
      <name val="Aptos Narrow"/>
      <family val="2"/>
      <b val="1"/>
      <color theme="1" tint="0.0499893185216834"/>
      <sz val="8"/>
      <scheme val="minor"/>
    </font>
    <font>
      <name val="Aptos Narrow"/>
      <family val="2"/>
      <sz val="8"/>
      <scheme val="minor"/>
    </font>
  </fonts>
  <fills count="8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theme="1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5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/>
      <right style="medium">
        <color rgb="FF000000"/>
      </right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thin">
        <color theme="1"/>
      </top>
      <bottom style="thin">
        <color theme="1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auto="1"/>
      </left>
      <right style="medium">
        <color auto="1"/>
      </right>
      <top/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theme="1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6" fillId="0" borderId="0"/>
    <xf numFmtId="9" fontId="6" fillId="0" borderId="0"/>
  </cellStyleXfs>
  <cellXfs count="90">
    <xf numFmtId="0" fontId="0" fillId="0" borderId="0" pivotButton="0" quotePrefix="0" xfId="0"/>
    <xf numFmtId="0" fontId="1" fillId="0" borderId="5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14" fontId="0" fillId="0" borderId="5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  <xf numFmtId="0" fontId="1" fillId="2" borderId="12" applyAlignment="1" pivotButton="0" quotePrefix="0" xfId="0">
      <alignment horizontal="center" vertical="center"/>
    </xf>
    <xf numFmtId="0" fontId="1" fillId="2" borderId="13" applyAlignment="1" pivotButton="0" quotePrefix="0" xfId="0">
      <alignment horizontal="center" vertical="center"/>
    </xf>
    <xf numFmtId="0" fontId="1" fillId="2" borderId="13" applyAlignment="1" pivotButton="0" quotePrefix="0" xfId="0">
      <alignment horizontal="center" vertical="center" wrapText="1"/>
    </xf>
    <xf numFmtId="0" fontId="1" fillId="2" borderId="14" applyAlignment="1" pivotButton="0" quotePrefix="0" xfId="0">
      <alignment horizontal="center" vertical="center"/>
    </xf>
    <xf numFmtId="0" fontId="0" fillId="0" borderId="18" applyAlignment="1" pivotButton="0" quotePrefix="0" xfId="0">
      <alignment horizontal="left" vertical="center" wrapText="1"/>
    </xf>
    <xf numFmtId="0" fontId="0" fillId="0" borderId="18" applyAlignment="1" pivotButton="0" quotePrefix="0" xfId="0">
      <alignment horizontal="left" vertical="center"/>
    </xf>
    <xf numFmtId="0" fontId="0" fillId="0" borderId="18" applyAlignment="1" pivotButton="0" quotePrefix="0" xfId="0">
      <alignment horizontal="center" vertical="center"/>
    </xf>
    <xf numFmtId="0" fontId="0" fillId="0" borderId="19" applyAlignment="1" pivotButton="0" quotePrefix="0" xfId="0">
      <alignment horizontal="center" vertical="center"/>
    </xf>
    <xf numFmtId="0" fontId="0" fillId="0" borderId="23" applyAlignment="1" pivotButton="0" quotePrefix="0" xfId="0">
      <alignment horizontal="left" vertical="center" wrapText="1"/>
    </xf>
    <xf numFmtId="0" fontId="0" fillId="0" borderId="23" applyAlignment="1" pivotButton="0" quotePrefix="0" xfId="0">
      <alignment horizontal="left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0" pivotButton="1" quotePrefix="0" xfId="0"/>
    <xf numFmtId="0" fontId="0" fillId="0" borderId="0" applyAlignment="1" pivotButton="0" quotePrefix="0" xfId="0">
      <alignment horizontal="left"/>
    </xf>
    <xf numFmtId="9" fontId="0" fillId="0" borderId="0" pivotButton="0" quotePrefix="0" xfId="1"/>
    <xf numFmtId="0" fontId="8" fillId="4" borderId="32" applyAlignment="1" pivotButton="0" quotePrefix="0" xfId="0">
      <alignment horizontal="center" vertical="center"/>
    </xf>
    <xf numFmtId="0" fontId="8" fillId="4" borderId="33" applyAlignment="1" pivotButton="0" quotePrefix="0" xfId="0">
      <alignment horizontal="center" vertical="center"/>
    </xf>
    <xf numFmtId="0" fontId="7" fillId="0" borderId="0" pivotButton="0" quotePrefix="0" xfId="0"/>
    <xf numFmtId="0" fontId="7" fillId="5" borderId="34" pivotButton="0" quotePrefix="0" xfId="0"/>
    <xf numFmtId="0" fontId="7" fillId="0" borderId="34" pivotButton="0" quotePrefix="0" xfId="0"/>
    <xf numFmtId="0" fontId="9" fillId="0" borderId="0" pivotButton="0" quotePrefix="0" xfId="0"/>
    <xf numFmtId="0" fontId="8" fillId="4" borderId="37" applyAlignment="1" pivotButton="0" quotePrefix="0" xfId="0">
      <alignment horizontal="center" vertical="center"/>
    </xf>
    <xf numFmtId="0" fontId="7" fillId="0" borderId="29" pivotButton="0" quotePrefix="0" xfId="0"/>
    <xf numFmtId="0" fontId="8" fillId="4" borderId="35" applyAlignment="1" pivotButton="0" quotePrefix="0" xfId="0">
      <alignment horizontal="center" vertical="center"/>
    </xf>
    <xf numFmtId="0" fontId="7" fillId="5" borderId="36" pivotButton="0" quotePrefix="0" xfId="0"/>
    <xf numFmtId="0" fontId="7" fillId="0" borderId="36" pivotButton="0" quotePrefix="0" xfId="0"/>
    <xf numFmtId="0" fontId="7" fillId="5" borderId="29" pivotButton="0" quotePrefix="0" xfId="0"/>
    <xf numFmtId="0" fontId="10" fillId="3" borderId="28" applyAlignment="1" pivotButton="0" quotePrefix="0" xfId="0">
      <alignment horizontal="center" vertical="center" wrapText="1"/>
    </xf>
    <xf numFmtId="0" fontId="10" fillId="3" borderId="25" applyAlignment="1" pivotButton="0" quotePrefix="0" xfId="0">
      <alignment horizontal="center" vertical="center" wrapText="1"/>
    </xf>
    <xf numFmtId="0" fontId="10" fillId="3" borderId="26" applyAlignment="1" pivotButton="0" quotePrefix="0" xfId="0">
      <alignment horizontal="center" vertical="center" wrapText="1"/>
    </xf>
    <xf numFmtId="0" fontId="10" fillId="3" borderId="27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7" fillId="6" borderId="0" applyAlignment="1" pivotButton="0" quotePrefix="0" xfId="0">
      <alignment horizontal="center" vertical="center"/>
    </xf>
    <xf numFmtId="0" fontId="2" fillId="7" borderId="38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/>
    </xf>
    <xf numFmtId="0" fontId="3" fillId="0" borderId="11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11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5" fillId="0" borderId="8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2" fillId="0" borderId="30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31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0" fillId="0" borderId="15" applyAlignment="1" pivotButton="0" quotePrefix="0" xfId="0">
      <alignment horizontal="center" vertical="center"/>
    </xf>
    <xf numFmtId="0" fontId="0" fillId="0" borderId="20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17" applyAlignment="1" pivotButton="0" quotePrefix="0" xfId="0">
      <alignment horizontal="left" vertical="center"/>
    </xf>
    <xf numFmtId="0" fontId="0" fillId="0" borderId="22" applyAlignment="1" pivotButton="0" quotePrefix="0" xfId="0">
      <alignment horizontal="left" vertical="center"/>
    </xf>
    <xf numFmtId="17" fontId="0" fillId="0" borderId="15" applyAlignment="1" pivotButton="0" quotePrefix="0" xfId="0">
      <alignment horizontal="center" vertical="center"/>
    </xf>
    <xf numFmtId="0" fontId="0" fillId="0" borderId="17" applyAlignment="1" pivotButton="0" quotePrefix="0" xfId="0">
      <alignment horizontal="left" vertical="center" wrapText="1"/>
    </xf>
    <xf numFmtId="0" fontId="0" fillId="0" borderId="22" applyAlignment="1" pivotButton="0" quotePrefix="0" xfId="0">
      <alignment horizontal="left" vertical="center" wrapText="1"/>
    </xf>
    <xf numFmtId="0" fontId="1" fillId="2" borderId="1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/>
    </xf>
    <xf numFmtId="0" fontId="0" fillId="0" borderId="39" pivotButton="0" quotePrefix="0" xfId="0"/>
    <xf numFmtId="0" fontId="0" fillId="0" borderId="2" pivotButton="0" quotePrefix="0" xfId="0"/>
    <xf numFmtId="0" fontId="3" fillId="0" borderId="5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45" pivotButton="0" quotePrefix="0" xfId="0"/>
    <xf numFmtId="0" fontId="0" fillId="0" borderId="7" pivotButton="0" quotePrefix="0" xfId="0"/>
    <xf numFmtId="0" fontId="4" fillId="0" borderId="5" applyAlignment="1" pivotButton="0" quotePrefix="0" xfId="0">
      <alignment horizontal="center" vertical="center"/>
    </xf>
    <xf numFmtId="0" fontId="5" fillId="0" borderId="40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164" fontId="2" fillId="7" borderId="38" applyAlignment="1" pivotButton="0" quotePrefix="0" xfId="0">
      <alignment horizontal="center" vertical="center" wrapText="1"/>
    </xf>
    <xf numFmtId="0" fontId="0" fillId="0" borderId="51" pivotButton="0" quotePrefix="0" xfId="0"/>
    <xf numFmtId="17" fontId="0" fillId="0" borderId="12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46" applyAlignment="1" pivotButton="0" quotePrefix="0" xfId="0">
      <alignment horizontal="left" vertical="center" wrapText="1"/>
    </xf>
    <xf numFmtId="0" fontId="0" fillId="0" borderId="20" pivotButton="0" quotePrefix="0" xfId="0"/>
    <xf numFmtId="0" fontId="0" fillId="0" borderId="21" pivotButton="0" quotePrefix="0" xfId="0"/>
    <xf numFmtId="0" fontId="0" fillId="0" borderId="22" pivotButton="0" quotePrefix="0" xfId="0"/>
    <xf numFmtId="0" fontId="0" fillId="0" borderId="12" applyAlignment="1" pivotButton="0" quotePrefix="0" xfId="0">
      <alignment horizontal="center" vertical="center"/>
    </xf>
    <xf numFmtId="0" fontId="0" fillId="0" borderId="46" applyAlignment="1" pivotButton="0" quotePrefix="0" xfId="0">
      <alignment horizontal="left" vertical="center"/>
    </xf>
  </cellXfs>
  <cellStyles count="2">
    <cellStyle name="Normal" xfId="0" builtinId="0"/>
    <cellStyle name="Percent" xfId="1" builtinId="5"/>
  </cellStyles>
  <dxfs count="39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name val="Aptos Narrow"/>
        <family val="2"/>
        <strike val="0"/>
        <outline val="0"/>
        <shadow val="0"/>
        <condense val="0"/>
        <color theme="1"/>
        <extend val="0"/>
        <sz val="16"/>
        <vertAlign val="baseline"/>
        <scheme val="minor"/>
      </font>
      <fill>
        <patternFill patternType="solid">
          <fgColor theme="0" tint="-0.1499984740745262"/>
          <bgColor theme="0" tint="-0.1499984740745262"/>
        </patternFill>
      </fill>
      <alignment horizontal="left" vertical="center"/>
      <border>
        <left style="medium">
          <color indexed="64"/>
        </left>
        <right style="thin">
          <color indexed="64"/>
        </right>
        <top style="thin">
          <color theme="1"/>
        </top>
        <bottom style="thin">
          <color theme="1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name val="Aptos Narrow"/>
        <family val="2"/>
        <strike val="0"/>
        <outline val="0"/>
        <shadow val="0"/>
        <condense val="0"/>
        <color theme="1"/>
        <extend val="0"/>
        <sz val="16"/>
        <vertAlign val="baseline"/>
        <scheme val="minor"/>
      </font>
      <fill>
        <patternFill patternType="solid">
          <fgColor indexed="64"/>
          <bgColor theme="1"/>
        </patternFill>
      </fill>
      <alignment horizontal="center" vertical="center"/>
    </dxf>
    <dxf>
      <font>
        <name val="Aptos Narrow"/>
        <family val="2"/>
        <strike val="0"/>
        <outline val="0"/>
        <shadow val="0"/>
        <color theme="1"/>
        <sz val="16"/>
        <vertAlign val="baseline"/>
        <scheme val="minor"/>
      </font>
    </dxf>
    <dxf>
      <font>
        <name val="Aptos Narrow"/>
        <family val="2"/>
        <strike val="0"/>
        <outline val="0"/>
        <shadow val="0"/>
        <color theme="1"/>
        <sz val="16"/>
        <vertAlign val="baseline"/>
        <scheme val="minor"/>
      </font>
      <border>
        <left style="medium">
          <color indexed="64"/>
        </left>
        <right style="medium">
          <color indexed="64"/>
        </right>
        <vertical/>
      </border>
    </dxf>
    <dxf>
      <font>
        <name val="Aptos Narrow"/>
        <family val="2"/>
        <strike val="0"/>
        <outline val="0"/>
        <shadow val="0"/>
        <condense val="0"/>
        <color theme="1"/>
        <extend val="0"/>
        <sz val="16"/>
        <vertAlign val="baseline"/>
        <scheme val="minor"/>
      </font>
      <border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name val="Aptos Narrow"/>
        <family val="2"/>
        <strike val="0"/>
        <outline val="0"/>
        <shadow val="0"/>
        <color theme="1"/>
        <sz val="16"/>
        <vertAlign val="baseline"/>
        <scheme val="minor"/>
      </font>
      <border>
        <left style="medium">
          <color indexed="64"/>
        </left>
        <right style="medium">
          <color indexed="64"/>
        </right>
        <vertical/>
      </border>
    </dxf>
    <dxf>
      <font>
        <name val="Aptos Narrow"/>
        <family val="2"/>
        <strike val="0"/>
        <outline val="0"/>
        <shadow val="0"/>
        <color theme="1"/>
        <sz val="16"/>
        <vertAlign val="baseline"/>
        <scheme val="minor"/>
      </font>
    </dxf>
    <dxf>
      <font>
        <name val="Aptos Narrow"/>
        <family val="2"/>
        <strike val="0"/>
        <outline val="0"/>
        <shadow val="0"/>
        <color theme="1"/>
        <sz val="16"/>
        <vertAlign val="baseline"/>
        <scheme val="minor"/>
      </font>
      <border>
        <left style="medium">
          <color auto="1"/>
        </left>
        <right style="medium">
          <color auto="1"/>
        </right>
        <vertical/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name val="Aptos Narrow"/>
        <family val="2"/>
        <strike val="0"/>
        <outline val="0"/>
        <shadow val="0"/>
        <color theme="1"/>
        <sz val="16"/>
        <vertAlign val="baseline"/>
        <scheme val="minor"/>
      </font>
    </dxf>
    <dxf>
      <border outline="0">
        <bottom style="thin">
          <color theme="1"/>
        </bottom>
      </border>
    </dxf>
    <dxf>
      <font>
        <name val="Aptos Narrow"/>
        <family val="2"/>
        <b val="1"/>
        <strike val="0"/>
        <outline val="0"/>
        <shadow val="0"/>
        <condense val="0"/>
        <color theme="0"/>
        <extend val="0"/>
        <sz val="16"/>
        <vertAlign val="baseline"/>
        <scheme val="minor"/>
      </font>
      <fill>
        <patternFill patternType="solid">
          <fgColor theme="1"/>
          <bgColor theme="1"/>
        </patternFill>
      </fill>
      <alignment horizontal="center" vertical="center"/>
    </dxf>
    <dxf>
      <numFmt numFmtId="0" formatCode="General"/>
    </dxf>
    <dxf>
      <fill>
        <patternFill>
          <bgColor theme="0"/>
        </patternFill>
      </fill>
      <alignment horizontal="center" vertical="center"/>
    </dxf>
    <dxf>
      <font>
        <name val="Aptos Narrow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fill>
        <patternFill>
          <bgColor theme="0"/>
        </patternFill>
      </fill>
      <alignment horizontal="left" vertical="center" wrapText="1"/>
      <border outline="0">
        <left style="medium">
          <color indexed="64"/>
        </left>
        <right style="medium">
          <color indexed="64"/>
        </right>
        <top/>
        <bottom/>
      </border>
    </dxf>
    <dxf>
      <font>
        <name val="Aptos Narrow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fill>
        <patternFill>
          <bgColor theme="0"/>
        </patternFill>
      </fill>
      <alignment horizontal="center" vertical="center" wrapText="1"/>
      <border outline="0">
        <left style="medium">
          <color indexed="64"/>
        </left>
        <right style="medium">
          <color indexed="64"/>
        </right>
        <top/>
        <bottom/>
      </border>
    </dxf>
    <dxf>
      <font>
        <name val="Aptos Narrow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fill>
        <patternFill>
          <bgColor theme="0"/>
        </patternFill>
      </fill>
      <alignment horizontal="center" vertical="center" wrapText="1"/>
    </dxf>
    <dxf>
      <font>
        <name val="Aptos Narrow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fill>
        <patternFill>
          <bgColor theme="0"/>
        </patternFill>
      </fill>
      <alignment horizontal="center" vertical="center"/>
      <border outline="0">
        <left/>
        <right style="medium">
          <color rgb="FF000000"/>
        </right>
        <top/>
        <bottom/>
      </border>
    </dxf>
    <dxf>
      <font>
        <name val="Aptos Narrow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fill>
        <patternFill>
          <bgColor theme="0"/>
        </patternFill>
      </fill>
      <alignment horizontal="left" vertical="center" wrapText="1"/>
      <border outline="0">
        <left/>
        <right style="medium">
          <color rgb="FF000000"/>
        </right>
        <top/>
        <bottom/>
      </border>
    </dxf>
    <dxf>
      <font>
        <name val="Aptos Narrow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fill>
        <patternFill>
          <bgColor theme="0"/>
        </patternFill>
      </fill>
      <alignment horizontal="center" vertical="center" wrapText="1"/>
      <border outline="0">
        <left style="medium">
          <color indexed="64"/>
        </left>
        <right style="medium">
          <color indexed="64"/>
        </right>
        <top/>
        <bottom/>
      </border>
    </dxf>
    <dxf>
      <font>
        <name val="Aptos Narrow"/>
        <family val="2"/>
        <strike val="0"/>
        <outline val="0"/>
        <shadow val="0"/>
        <condense val="0"/>
        <color theme="1"/>
        <extend val="0"/>
        <sz val="8"/>
        <vertAlign val="baseline"/>
        <scheme val="minor"/>
      </font>
      <fill>
        <patternFill>
          <bgColor theme="0"/>
        </patternFill>
      </fill>
      <alignment horizontal="center" vertical="center" wrapText="1"/>
      <border outline="0">
        <left style="medium">
          <color indexed="64"/>
        </left>
        <right style="medium">
          <color indexed="64"/>
        </right>
        <top/>
        <bottom/>
      </border>
    </dxf>
    <dxf>
      <fill>
        <patternFill>
          <bgColor theme="0"/>
        </patternFill>
      </fill>
    </dxf>
    <dxf>
      <font>
        <name val="Aptos Narrow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fill>
        <patternFill>
          <bgColor theme="0"/>
        </patternFill>
      </fill>
      <alignment horizontal="center" vertical="center"/>
      <border outline="0">
        <left style="medium">
          <color indexed="64"/>
        </left>
        <right style="medium">
          <color indexed="64"/>
        </right>
        <top/>
        <bottom/>
      </border>
    </dxf>
    <dxf>
      <font>
        <name val="Aptos Narrow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fill>
        <patternFill>
          <bgColor theme="0"/>
        </patternFill>
      </fill>
      <alignment horizontal="center" vertical="center"/>
      <border outline="0">
        <left style="medium">
          <color indexed="64"/>
        </left>
        <right style="medium">
          <color indexed="64"/>
        </right>
        <top/>
        <bottom/>
      </border>
    </dxf>
    <dxf>
      <font>
        <name val="Aptos Narrow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numFmt numFmtId="0" formatCode="General"/>
      <fill>
        <patternFill>
          <bgColor theme="0"/>
        </patternFill>
      </fill>
      <alignment horizontal="center" vertical="center"/>
      <border outline="0">
        <left style="medium">
          <color indexed="64"/>
        </left>
        <right/>
        <top/>
        <bottom/>
      </border>
    </dxf>
    <dxf>
      <font>
        <name val="Aptos Narrow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numFmt numFmtId="0" formatCode="General"/>
      <fill>
        <patternFill>
          <bgColor theme="0"/>
        </patternFill>
      </fill>
      <alignment horizontal="center" vertical="center"/>
      <border outline="0">
        <left style="medium">
          <color indexed="64"/>
        </left>
        <right/>
        <top/>
        <bottom/>
      </border>
    </dxf>
    <dxf>
      <font>
        <name val="Aptos Narrow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fill>
        <patternFill>
          <bgColor theme="0"/>
        </patternFill>
      </fill>
      <alignment horizontal="center" vertical="center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fill>
        <patternFill>
          <bgColor theme="0"/>
        </patternFill>
      </fill>
    </dxf>
    <dxf>
      <border outline="0">
        <bottom style="thin">
          <color rgb="FF000000"/>
        </bottom>
      </border>
    </dxf>
    <dxf>
      <font>
        <name val="Aptos Narrow"/>
        <family val="2"/>
        <b val="1"/>
        <strike val="0"/>
        <outline val="0"/>
        <shadow val="0"/>
        <condense val="0"/>
        <color theme="1" tint="0.0499893185216834"/>
        <extend val="0"/>
        <sz val="8"/>
        <vertAlign val="baseline"/>
        <scheme val="minor"/>
      </font>
      <fill>
        <patternFill patternType="solid">
          <fgColor indexed="64"/>
          <bgColor rgb="FFFFC000"/>
        </patternFill>
      </fill>
      <alignment horizontal="center" vertical="center" wrapText="1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pivotCacheDefinition" Target="/xl/pivotCache/pivotCacheDefinition1.xml" Id="rId5"/><Relationship Type="http://schemas.openxmlformats.org/officeDocument/2006/relationships/externalLink" Target="/xl/externalLinks/externalLink1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pivotSource>
    <name>[Thor - Corrective maintenance follow-up.xlsx]Data analysis!PivotTable28</name>
    <fmtId val="0"/>
  </pivotSource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Assembly Area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1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ivotFmts>
      <pivotFmt>
        <idx val="0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  <showLegendKey val="0"/>
          <showVal val="0"/>
          <showCatName val="0"/>
          <showSerName val="0"/>
          <showPercent val="0"/>
          <showBubbleSize val="0"/>
        </dLbl>
      </pivotFmt>
    </pivotFmts>
    <plotArea>
      <layout/>
      <barChart>
        <barDir val="col"/>
        <grouping val="clustered"/>
        <varyColors val="0"/>
        <ser>
          <idx val="0"/>
          <order val="0"/>
          <tx>
            <strRef>
              <f>'Data analysis'!$B$13</f>
              <strCache>
                <ptCount val="1"/>
                <pt idx="0">
                  <v>Total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'Data analysis'!$A$14:$A$56</f>
              <strCache>
                <ptCount val="42"/>
                <pt idx="0">
                  <v>BAM</v>
                </pt>
                <pt idx="1">
                  <v>M4/6</v>
                </pt>
                <pt idx="2">
                  <v xml:space="preserve">Ensacheuse Automatique </v>
                </pt>
                <pt idx="3">
                  <v>SNK 5</v>
                </pt>
                <pt idx="4">
                  <v>Test</v>
                </pt>
                <pt idx="5">
                  <v>Komax Gamma</v>
                </pt>
                <pt idx="6">
                  <v>EcoCut</v>
                </pt>
                <pt idx="7">
                  <v>G-PRESS de Sertissage 2 TE</v>
                </pt>
                <pt idx="8">
                  <v>Press Manuel</v>
                </pt>
                <pt idx="9">
                  <v>ZS6</v>
                </pt>
                <pt idx="10">
                  <v>G-Press</v>
                </pt>
                <pt idx="11">
                  <v>HR Dénudeuse 4 fils</v>
                </pt>
                <pt idx="12">
                  <v>Winding Machine Stator K11666</v>
                </pt>
                <pt idx="13">
                  <v>Applicateur</v>
                </pt>
                <pt idx="14">
                  <v>G-PRESS de Sertissage 3 TE</v>
                </pt>
                <pt idx="15">
                  <v>Cutting Rail Automatique</v>
                </pt>
                <pt idx="16">
                  <v>Denudeuse</v>
                </pt>
                <pt idx="17">
                  <v xml:space="preserve">HR Connector assembly </v>
                </pt>
                <pt idx="18">
                  <v xml:space="preserve">Alpha Jet Noir </v>
                </pt>
                <pt idx="19">
                  <v>Machine de sertissage</v>
                </pt>
                <pt idx="20">
                  <v>ZK2.5</v>
                </pt>
                <pt idx="21">
                  <v>BOY 3</v>
                </pt>
                <pt idx="22">
                  <v>Komax Alpha</v>
                </pt>
                <pt idx="23">
                  <v xml:space="preserve">RC </v>
                </pt>
                <pt idx="24">
                  <v>Ultrasonic 4</v>
                </pt>
                <pt idx="25">
                  <v>Ultrasonic 1</v>
                </pt>
                <pt idx="26">
                  <v>Winding Machine Rotor K06677</v>
                </pt>
                <pt idx="27">
                  <v>Machine de dénudage</v>
                </pt>
                <pt idx="28">
                  <v>Test 2 : MARTA 2-2</v>
                </pt>
                <pt idx="29">
                  <v xml:space="preserve">Power Strip 1 </v>
                </pt>
                <pt idx="30">
                  <v>ZS4</v>
                </pt>
                <pt idx="31">
                  <v>SNK 6</v>
                </pt>
                <pt idx="32">
                  <v>BAZ1</v>
                </pt>
                <pt idx="33">
                  <v>G-PRESS de Sertissage 4-AMP</v>
                </pt>
                <pt idx="34">
                  <v xml:space="preserve">Laser Marking System </v>
                </pt>
                <pt idx="35">
                  <v>HR Gpress StripCrimp</v>
                </pt>
                <pt idx="36">
                  <v>Test 2 : MARTA 4-1</v>
                </pt>
                <pt idx="37">
                  <v>SNK 2</v>
                </pt>
                <pt idx="38">
                  <v>G-PRESS de Sertissage 1 TE</v>
                </pt>
                <pt idx="39">
                  <v>BOY 5</v>
                </pt>
                <pt idx="40">
                  <v>Power Strip 2</v>
                </pt>
                <pt idx="41">
                  <v>(blank)</v>
                </pt>
              </strCache>
            </strRef>
          </cat>
          <val>
            <numRef>
              <f>'Data analysis'!$B$14:$B$56</f>
              <numCache>
                <formatCode>General</formatCode>
                <ptCount val="42"/>
                <pt idx="0">
                  <v>700</v>
                </pt>
                <pt idx="1">
                  <v>680</v>
                </pt>
                <pt idx="2">
                  <v>565</v>
                </pt>
                <pt idx="3">
                  <v>525</v>
                </pt>
                <pt idx="4">
                  <v>255</v>
                </pt>
                <pt idx="5">
                  <v>245</v>
                </pt>
                <pt idx="6">
                  <v>200</v>
                </pt>
                <pt idx="7">
                  <v>190</v>
                </pt>
                <pt idx="8">
                  <v>170</v>
                </pt>
                <pt idx="9">
                  <v>140</v>
                </pt>
                <pt idx="10">
                  <v>115</v>
                </pt>
                <pt idx="11">
                  <v>105</v>
                </pt>
                <pt idx="12">
                  <v>105</v>
                </pt>
                <pt idx="13">
                  <v>100</v>
                </pt>
                <pt idx="14">
                  <v>85</v>
                </pt>
                <pt idx="15">
                  <v>75</v>
                </pt>
                <pt idx="16">
                  <v>75</v>
                </pt>
                <pt idx="17">
                  <v>55</v>
                </pt>
                <pt idx="18">
                  <v>50</v>
                </pt>
                <pt idx="19">
                  <v>50</v>
                </pt>
                <pt idx="20">
                  <v>45</v>
                </pt>
                <pt idx="21">
                  <v>40</v>
                </pt>
                <pt idx="22">
                  <v>35</v>
                </pt>
                <pt idx="23">
                  <v>35</v>
                </pt>
                <pt idx="24">
                  <v>35</v>
                </pt>
                <pt idx="25">
                  <v>35</v>
                </pt>
                <pt idx="26">
                  <v>30</v>
                </pt>
                <pt idx="27">
                  <v>30</v>
                </pt>
                <pt idx="28">
                  <v>30</v>
                </pt>
                <pt idx="29">
                  <v>30</v>
                </pt>
                <pt idx="30">
                  <v>30</v>
                </pt>
                <pt idx="31">
                  <v>25</v>
                </pt>
                <pt idx="32">
                  <v>25</v>
                </pt>
                <pt idx="33">
                  <v>25</v>
                </pt>
                <pt idx="34">
                  <v>20</v>
                </pt>
                <pt idx="35">
                  <v>20</v>
                </pt>
                <pt idx="36">
                  <v>20</v>
                </pt>
                <pt idx="37">
                  <v>20</v>
                </pt>
                <pt idx="38">
                  <v>15</v>
                </pt>
                <pt idx="39">
                  <v>15</v>
                </pt>
                <pt idx="40">
                  <v>10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858977064"/>
        <axId val="858973104"/>
      </barChart>
      <catAx>
        <axId val="858977064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858973104"/>
        <crosses val="autoZero"/>
        <auto val="1"/>
        <lblAlgn val="ctr"/>
        <lblOffset val="100"/>
        <noMultiLvlLbl val="0"/>
      </catAx>
      <valAx>
        <axId val="858973104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858977064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image" Target="/xl/media/image2.png" Id="rId2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drawing1.xml><?xml version="1.0" encoding="utf-8"?>
<wsDr xmlns="http://schemas.openxmlformats.org/drawingml/2006/spreadsheetDrawing">
  <oneCellAnchor>
    <from>
      <col>0</col>
      <colOff>670469</colOff>
      <row>0</row>
      <rowOff>11657</rowOff>
    </from>
    <ext cx="1019174" cy="405020"/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670469" y="11657"/>
          <a:ext cx="1019174" cy="40502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twoCellAnchor>
    <from>
      <col>3</col>
      <colOff>734331</colOff>
      <row>13</row>
      <rowOff>97971</rowOff>
    </from>
    <to>
      <col>12</col>
      <colOff>557892</colOff>
      <row>49</row>
      <rowOff>105682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oneCellAnchor>
    <from>
      <col>0</col>
      <colOff>161926</colOff>
      <row>0</row>
      <rowOff>47628</rowOff>
    </from>
    <ext cx="1019174" cy="405020"/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158751" y="44453"/>
          <a:ext cx="1019174" cy="40502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1</col>
      <colOff>161926</colOff>
      <row>0</row>
      <rowOff>47628</rowOff>
    </from>
    <ext cx="1019174" cy="405020"/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61926" y="47628"/>
          <a:ext cx="1019174" cy="40502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403680</colOff>
      <row>0</row>
      <rowOff>8167</rowOff>
    </from>
    <ext cx="1019174" cy="405020"/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403680" y="8167"/>
          <a:ext cx="1019174" cy="40502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file:///O:\FORMULARE_CZ\x-R%20karta.xls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x-R"/>
      <sheetName val="Kontrola výpočtů"/>
      <sheetName val="xxx"/>
      <sheetName val="druhá strana"/>
      <sheetName val="Modul1"/>
      <sheetName val="Dialog1"/>
      <sheetName val="Dialog3"/>
      <sheetName val="Dialog2"/>
      <sheetName val="x-R karta"/>
      <sheetName val="Kontrola_výpočtů"/>
      <sheetName val="druhá_strana"/>
      <sheetName val="x-R_karta"/>
      <sheetName val="Kontrola_výpočtů1"/>
      <sheetName val="druhá_strana1"/>
      <sheetName val="x-R_karta1"/>
      <sheetName val="4"/>
    </sheetNames>
    <definedNames>
      <definedName name="tisk"/>
      <definedName name="tisk_druhé_strany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  <sheetData sheetId="12"/>
      <sheetData sheetId="13"/>
      <sheetData sheetId="14"/>
      <sheetData sheetId="15" refreshError="1"/>
    </sheetDataSet>
  </externalBook>
</externalLink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edBy="Ballouk, Soufiane" refreshedDate="45700.37740231481" createdVersion="8" refreshedVersion="8" minRefreshableVersion="3" recordCount="419" r:id="rId1">
  <cacheSource type="worksheet">
    <worksheetSource ref="A5:N232" sheet="Recording"/>
  </cacheSource>
  <cacheFields count="14">
    <cacheField name="Date " uniqueList="1" numFmtId="0" sqlType="0" hierarchy="0" level="0" databaseField="1">
      <sharedItems count="0" containsBlank="1" containsDate="1" containsNonDate="0" containsString="0" minDate="2025-02-03T00:00:00" maxDate="2025-02-20T00:00:00"/>
    </cacheField>
    <cacheField name="Semaine" uniqueList="1" numFmtId="0" sqlType="0" hierarchy="0" level="0" databaseField="1">
      <sharedItems count="226" containsInteger="1" containsNumber="1" containsSemiMixedTypes="0" containsString="0" minValue="0" maxValue="225">
        <n v="6"/>
        <n v="7"/>
        <n v="8"/>
        <n v="0"/>
        <n v="1" u="1"/>
        <n v="2" u="1"/>
        <n v="3" u="1"/>
        <n v="4" u="1"/>
        <n v="5" u="1"/>
        <n v="9" u="1"/>
        <n v="10" u="1"/>
        <n v="11" u="1"/>
        <n v="12" u="1"/>
        <n v="13" u="1"/>
        <n v="14" u="1"/>
        <n v="15" u="1"/>
        <n v="16" u="1"/>
        <n v="17" u="1"/>
        <n v="18" u="1"/>
        <n v="19" u="1"/>
        <n v="20" u="1"/>
        <n v="21" u="1"/>
        <n v="22" u="1"/>
        <n v="23" u="1"/>
        <n v="24" u="1"/>
        <n v="25" u="1"/>
        <n v="26" u="1"/>
        <n v="27" u="1"/>
        <n v="28" u="1"/>
        <n v="29" u="1"/>
        <n v="30" u="1"/>
        <n v="31" u="1"/>
        <n v="32" u="1"/>
        <n v="33" u="1"/>
        <n v="34" u="1"/>
        <n v="35" u="1"/>
        <n v="36" u="1"/>
        <n v="37" u="1"/>
        <n v="38" u="1"/>
        <n v="39" u="1"/>
        <n v="40" u="1"/>
        <n v="41" u="1"/>
        <n v="42" u="1"/>
        <n v="43" u="1"/>
        <n v="44" u="1"/>
        <n v="45" u="1"/>
        <n v="46" u="1"/>
        <n v="47" u="1"/>
        <n v="48" u="1"/>
        <n v="49" u="1"/>
        <n v="50" u="1"/>
        <n v="51" u="1"/>
        <n v="52" u="1"/>
        <n v="53" u="1"/>
        <n v="54" u="1"/>
        <n v="55" u="1"/>
        <n v="56" u="1"/>
        <n v="57" u="1"/>
        <n v="58" u="1"/>
        <n v="59" u="1"/>
        <n v="60" u="1"/>
        <n v="61" u="1"/>
        <n v="62" u="1"/>
        <n v="63" u="1"/>
        <n v="64" u="1"/>
        <n v="65" u="1"/>
        <n v="66" u="1"/>
        <n v="67" u="1"/>
        <n v="68" u="1"/>
        <n v="69" u="1"/>
        <n v="70" u="1"/>
        <n v="71" u="1"/>
        <n v="72" u="1"/>
        <n v="73" u="1"/>
        <n v="74" u="1"/>
        <n v="75" u="1"/>
        <n v="76" u="1"/>
        <n v="77" u="1"/>
        <n v="78" u="1"/>
        <n v="79" u="1"/>
        <n v="80" u="1"/>
        <n v="81" u="1"/>
        <n v="82" u="1"/>
        <n v="83" u="1"/>
        <n v="84" u="1"/>
        <n v="85" u="1"/>
        <n v="86" u="1"/>
        <n v="87" u="1"/>
        <n v="88" u="1"/>
        <n v="89" u="1"/>
        <n v="90" u="1"/>
        <n v="91" u="1"/>
        <n v="92" u="1"/>
        <n v="93" u="1"/>
        <n v="94" u="1"/>
        <n v="95" u="1"/>
        <n v="96" u="1"/>
        <n v="97" u="1"/>
        <n v="98" u="1"/>
        <n v="99" u="1"/>
        <n v="100" u="1"/>
        <n v="101" u="1"/>
        <n v="102" u="1"/>
        <n v="103" u="1"/>
        <n v="104" u="1"/>
        <n v="105" u="1"/>
        <n v="106" u="1"/>
        <n v="107" u="1"/>
        <n v="108" u="1"/>
        <n v="109" u="1"/>
        <n v="110" u="1"/>
        <n v="111" u="1"/>
        <n v="112" u="1"/>
        <n v="113" u="1"/>
        <n v="114" u="1"/>
        <n v="115" u="1"/>
        <n v="116" u="1"/>
        <n v="117" u="1"/>
        <n v="118" u="1"/>
        <n v="119" u="1"/>
        <n v="120" u="1"/>
        <n v="121" u="1"/>
        <n v="122" u="1"/>
        <n v="123" u="1"/>
        <n v="124" u="1"/>
        <n v="125" u="1"/>
        <n v="126" u="1"/>
        <n v="127" u="1"/>
        <n v="128" u="1"/>
        <n v="129" u="1"/>
        <n v="130" u="1"/>
        <n v="131" u="1"/>
        <n v="132" u="1"/>
        <n v="133" u="1"/>
        <n v="134" u="1"/>
        <n v="135" u="1"/>
        <n v="136" u="1"/>
        <n v="137" u="1"/>
        <n v="138" u="1"/>
        <n v="139" u="1"/>
        <n v="140" u="1"/>
        <n v="141" u="1"/>
        <n v="142" u="1"/>
        <n v="143" u="1"/>
        <n v="144" u="1"/>
        <n v="145" u="1"/>
        <n v="146" u="1"/>
        <n v="147" u="1"/>
        <n v="148" u="1"/>
        <n v="149" u="1"/>
        <n v="150" u="1"/>
        <n v="151" u="1"/>
        <n v="152" u="1"/>
        <n v="153" u="1"/>
        <n v="154" u="1"/>
        <n v="155" u="1"/>
        <n v="156" u="1"/>
        <n v="157" u="1"/>
        <n v="158" u="1"/>
        <n v="159" u="1"/>
        <n v="160" u="1"/>
        <n v="161" u="1"/>
        <n v="162" u="1"/>
        <n v="163" u="1"/>
        <n v="164" u="1"/>
        <n v="165" u="1"/>
        <n v="166" u="1"/>
        <n v="167" u="1"/>
        <n v="168" u="1"/>
        <n v="169" u="1"/>
        <n v="170" u="1"/>
        <n v="171" u="1"/>
        <n v="172" u="1"/>
        <n v="173" u="1"/>
        <n v="174" u="1"/>
        <n v="175" u="1"/>
        <n v="176" u="1"/>
        <n v="177" u="1"/>
        <n v="178" u="1"/>
        <n v="179" u="1"/>
        <n v="180" u="1"/>
        <n v="181" u="1"/>
        <n v="182" u="1"/>
        <n v="183" u="1"/>
        <n v="184" u="1"/>
        <n v="185" u="1"/>
        <n v="186" u="1"/>
        <n v="187" u="1"/>
        <n v="188" u="1"/>
        <n v="189" u="1"/>
        <n v="190" u="1"/>
        <n v="191" u="1"/>
        <n v="192" u="1"/>
        <n v="193" u="1"/>
        <n v="194" u="1"/>
        <n v="195" u="1"/>
        <n v="196" u="1"/>
        <n v="197" u="1"/>
        <n v="198" u="1"/>
        <n v="199" u="1"/>
        <n v="200" u="1"/>
        <n v="201" u="1"/>
        <n v="202" u="1"/>
        <n v="203" u="1"/>
        <n v="204" u="1"/>
        <n v="205" u="1"/>
        <n v="206" u="1"/>
        <n v="207" u="1"/>
        <n v="208" u="1"/>
        <n v="209" u="1"/>
        <n v="210" u="1"/>
        <n v="211" u="1"/>
        <n v="212" u="1"/>
        <n v="213" u="1"/>
        <n v="214" u="1"/>
        <n v="215" u="1"/>
        <n v="216" u="1"/>
        <n v="217" u="1"/>
        <n v="218" u="1"/>
        <n v="219" u="1"/>
        <n v="220" u="1"/>
        <n v="221" u="1"/>
        <n v="222" u="1"/>
        <n v="223" u="1"/>
        <n v="224" u="1"/>
        <n v="225" u="1"/>
      </sharedItems>
    </cacheField>
    <cacheField name="Mois" uniqueList="1" numFmtId="0" sqlType="0" hierarchy="0" level="0" databaseField="1">
      <sharedItems count="5" containsInteger="1" containsNumber="1" containsSemiMixedTypes="0" containsString="0" minValue="1" maxValue="5">
        <n v="2"/>
        <n v="1"/>
        <n v="3" u="1"/>
        <n v="4" u="1"/>
        <n v="5" u="1"/>
      </sharedItems>
    </cacheField>
    <cacheField name="Shift" uniqueList="1" numFmtId="0" sqlType="0" hierarchy="0" level="0" databaseField="1">
      <sharedItems count="0" containsBlank="1"/>
    </cacheField>
    <cacheField name="PROJET" uniqueList="1" numFmtId="0" sqlType="0" hierarchy="0" level="0" databaseField="1">
      <sharedItems count="5" containsBlank="1">
        <s v="CCAO"/>
        <s v="TB"/>
        <s v="RESOLVERS"/>
        <m/>
        <s v="TERMINAL_BLOC" u="1"/>
      </sharedItems>
    </cacheField>
    <cacheField name="Machine" uniqueList="1" numFmtId="0" sqlType="0" hierarchy="0" level="0" databaseField="1">
      <sharedItems count="70" containsBlank="1">
        <s v="Applicateur"/>
        <s v="EcoCut"/>
        <s v="Ultrasonic 1"/>
        <s v="Machine de sertissage"/>
        <s v="Machine de dénudage"/>
        <s v="Test"/>
        <s v="HR Connector assembly "/>
        <s v="BAM"/>
        <s v="ZS6"/>
        <s v="BAZ1"/>
        <s v="SNK 5"/>
        <s v="G-PRESS de Sertissage 3 TE"/>
        <s v="G-PRESS de Sertissage 2 TE"/>
        <s v="Laser Marking System "/>
        <s v="Winding Machine Stator K11666"/>
        <s v="ZS4"/>
        <s v="Komax Gamma"/>
        <s v="Press Manuel"/>
        <s v="Ensacheuse Automatique "/>
        <s v="ZK2.5"/>
        <s v="G-PRESS de Sertissage 4-AMP"/>
        <s v="Denudeuse"/>
        <s v="RC "/>
        <s v="Komax Alpha"/>
        <s v="HR Dénudeuse 4 fils"/>
        <s v="HR Gpress StripCrimp"/>
        <s v="Ultrasonic 4"/>
        <s v="M4/6"/>
        <s v="Test 2 : MARTA 4-1"/>
        <s v="SNK 2"/>
        <s v="Winding Machine Rotor K06677"/>
        <m/>
        <s v="SNK 6"/>
        <s v="Cutting Rail Automatique"/>
        <s v="Alpha Jet Noir "/>
        <s v="G-Press"/>
        <s v="BOY 3"/>
        <s v="Power Strip 1 "/>
        <s v="Test 2 : MARTA 2-2"/>
        <s v="G-PRESS de Sertissage 1 TE"/>
        <s v="BOY 5"/>
        <s v="Power Strip 2"/>
        <s v="Scemi" u="1"/>
        <s v="PAD PRINTING 1" u="1"/>
        <s v="Multitester " u="1"/>
        <s v="Tableau de séparation" u="1"/>
        <s v="MA2.5" u="1"/>
        <s v="BALTEC" u="1"/>
        <s v="Test 3 : MARTA 5-1" u="1"/>
        <s v="Winding Machine Stator K06676" u="1"/>
        <s v="Winding Machine Stator K10519" u="1"/>
        <s v="Winding Machine Stator K11866" u="1"/>
        <s v="Ultrasonic 3" u="1"/>
        <s v="Ultrasonic 2" u="1"/>
        <s v="Servo" u="1"/>
        <s v="Four Metalorigor 2" u="1"/>
        <s v="Test 4 : MARTA 5-2" u="1"/>
        <s v="Komax Zeta" u="1"/>
        <s v="LR Dénudeuse 4 fils " u="1"/>
        <s v="BOY 1" u="1"/>
        <s v="Tour d'Usinage " u="1"/>
        <s v="Machine d'Etamage" u="1"/>
        <s v="Laser" u="1"/>
        <s v="telegartner" u="1"/>
        <s v="Sertissage des Broches " u="1"/>
        <s v="FOUR PMT" u="1"/>
        <s v="Ultrasonic 5" u="1"/>
        <s v="Winding Machine Rotor K05522" u="1"/>
        <s v="Winding Machine Rotor K10520" u="1"/>
        <s v="Laser Welding HAAS " u="1"/>
      </sharedItems>
    </cacheField>
    <cacheField name="Outil _x000a_(Applicateur, Test, Tableau, Press manuelle)" uniqueList="1" numFmtId="0" sqlType="0" hierarchy="0" level="0" databaseField="1">
      <sharedItems count="0" containsBlank="1"/>
    </cacheField>
    <cacheField name="Type d'intervention" uniqueList="1" numFmtId="0" sqlType="0" hierarchy="0" level="0" databaseField="1">
      <sharedItems count="0" containsBlank="1"/>
    </cacheField>
    <cacheField name="Intervenant" uniqueList="1" numFmtId="0" sqlType="0" hierarchy="0" level="0" databaseField="1">
      <sharedItems count="0" containsBlank="1"/>
    </cacheField>
    <cacheField name="Durée de l'Arrêt_x000a_(min)" uniqueList="1" numFmtId="0" sqlType="0" hierarchy="0" level="0" databaseField="1">
      <sharedItems count="0" containsBlank="1" containsInteger="1" containsNumber="1" containsString="0" minValue="10" maxValue="460"/>
    </cacheField>
    <cacheField name="Problème" uniqueList="1" numFmtId="0" sqlType="0" hierarchy="0" level="0" databaseField="1">
      <sharedItems count="0" containsBlank="1"/>
    </cacheField>
    <cacheField name="Détails de l'intervention" uniqueList="1" numFmtId="0" sqlType="0" hierarchy="0" level="0" databaseField="1">
      <sharedItems count="0" containsBlank="1"/>
    </cacheField>
    <cacheField name="Status Intervention" uniqueList="1" numFmtId="0" sqlType="0" hierarchy="0" level="0" databaseField="1">
      <sharedItems count="0" containsBlank="1"/>
    </cacheField>
    <cacheField name="Risque de Sécurité (après l'intervention Maintenance) " uniqueList="1" numFmtId="0" sqlType="0" hierarchy="0" level="0" databaseField="1">
      <sharedItems count="0"/>
    </cacheField>
  </cacheFields>
</pivotCacheDefinition>
</file>

<file path=xl/pivotCache/pivotCacheRecords1.xml><?xml version="1.0" encoding="utf-8"?>
<pivotCacheRecords xmlns="http://schemas.openxmlformats.org/spreadsheetml/2006/main" count="419">
  <r>
    <d v="2025-02-03T00:00:00"/>
    <x v="0"/>
    <x v="0"/>
    <s v="Mohamed BENDAOUD"/>
    <x v="0"/>
    <x v="0"/>
    <s v="SIEMENS"/>
    <s v="SETUP APPLICATEUR"/>
    <s v="LARHIOUCH RACHID"/>
    <n v="50"/>
    <s v="pb applicateur"/>
    <s v="reglage mecanique"/>
    <s v="Terminer"/>
    <s v="RAS"/>
  </r>
  <r>
    <d v="2025-02-03T00:00:00"/>
    <x v="0"/>
    <x v="0"/>
    <s v="Mohamed BENDAOUD"/>
    <x v="0"/>
    <x v="0"/>
    <s v="OEM"/>
    <s v="SETUP APPLICATEUR"/>
    <s v="LARHIOUCH RACHID"/>
    <n v="50"/>
    <s v="pb applicateurs"/>
    <s v="Ajustement d'avance et reglage mecanique"/>
    <s v="Terminer"/>
    <s v="RAS"/>
  </r>
  <r>
    <d v="2025-02-03T00:00:00"/>
    <x v="0"/>
    <x v="0"/>
    <s v="Mohamed BENDAOUD"/>
    <x v="0"/>
    <x v="1"/>
    <m/>
    <s v="ELECTRIQUE"/>
    <s v="LARHIOUCH RACHID"/>
    <n v="200"/>
    <s v="pb detecteur et blocage"/>
    <s v="reglage detecteiur et nettyage"/>
    <s v="Terminer"/>
    <s v="RAS"/>
  </r>
  <r>
    <d v="2025-02-03T00:00:00"/>
    <x v="0"/>
    <x v="0"/>
    <s v="Mohamed BENDAOUD"/>
    <x v="0"/>
    <x v="2"/>
    <m/>
    <s v="MECANIQUE"/>
    <s v="LARHIOUCH RACHID"/>
    <n v="35"/>
    <s v="pb soudage"/>
    <s v="ajustement des pieces de soudage"/>
    <s v="Terminer"/>
    <s v="RAS"/>
  </r>
  <r>
    <d v="2025-02-03T00:00:00"/>
    <x v="0"/>
    <x v="0"/>
    <s v="Mohamed BENDAOUD"/>
    <x v="0"/>
    <x v="3"/>
    <m/>
    <s v="MECANIQUE"/>
    <s v="Smail EL MOHAMADI"/>
    <n v="20"/>
    <s v="pb applicateur"/>
    <s v="reglage mecanique"/>
    <s v="Terminer"/>
    <s v="RAS"/>
  </r>
  <r>
    <d v="2025-02-03T00:00:00"/>
    <x v="0"/>
    <x v="0"/>
    <s v="Mohamed BENDAOUD"/>
    <x v="0"/>
    <x v="4"/>
    <m/>
    <s v="MECANIQUE"/>
    <s v="ZOUBAIR LAMRABAT"/>
    <n v="30"/>
    <s v="denudage NOK"/>
    <s v="reglage de palpeur et montage de rossort d'ammortissement"/>
    <s v="Terminer"/>
    <s v="RAS"/>
  </r>
  <r>
    <d v="2025-02-03T00:00:00"/>
    <x v="0"/>
    <x v="0"/>
    <s v="Mohamed BENDAOUD"/>
    <x v="0"/>
    <x v="5"/>
    <m/>
    <s v="ELECTRIQUE"/>
    <s v="LARHIOUCH RACHID"/>
    <n v="30"/>
    <s v="pb contre piece"/>
    <s v="chnagement d'alimentation 24 dans la carte et reglage de pin detection"/>
    <s v="Terminer"/>
    <s v="RAS"/>
  </r>
  <r>
    <d v="2025-02-03T00:00:00"/>
    <x v="0"/>
    <x v="0"/>
    <s v="Mohamed BENDAOUD"/>
    <x v="0"/>
    <x v="5"/>
    <m/>
    <s v="MECANIQUE"/>
    <s v="ZOUBAIR LAMRABAT"/>
    <n v="50"/>
    <s v="pb contre piece"/>
    <s v="raglege de contre piece"/>
    <s v="Terminer"/>
    <s v="RAS"/>
  </r>
  <r>
    <d v="2025-02-03T00:00:00"/>
    <x v="0"/>
    <x v="0"/>
    <s v="Mohamed BENDAOUD"/>
    <x v="0"/>
    <x v="6"/>
    <s v="presse de scoba"/>
    <s v="MECANIQUE"/>
    <s v="LARHIOUCH RACHID"/>
    <n v="35"/>
    <s v="pb pin casse"/>
    <s v="changement de pin casse presse scoba"/>
    <s v="Terminer"/>
    <s v="RAS"/>
  </r>
  <r>
    <d v="2025-02-03T00:00:00"/>
    <x v="0"/>
    <x v="0"/>
    <s v="Mohamed BENDAOUD"/>
    <x v="0"/>
    <x v="3"/>
    <s v="2266058-2"/>
    <s v="MECANIQUE"/>
    <s v="BEN DAOUD MOHAMED"/>
    <n v="30"/>
    <s v="pb applicateur"/>
    <s v="reglage d'avance et des griffes"/>
    <s v="Terminer"/>
    <s v="RAS"/>
  </r>
  <r>
    <d v="2025-02-03T00:00:00"/>
    <x v="0"/>
    <x v="0"/>
    <s v="Mohamed BENDAOUD"/>
    <x v="1"/>
    <x v="7"/>
    <m/>
    <s v="MECANIQUE"/>
    <s v="ZOUBAIR LAMRABAT"/>
    <n v="40"/>
    <s v="cassement de support de fibre"/>
    <s v="changement de support casse"/>
    <s v="Terminer"/>
    <s v="RAS"/>
  </r>
  <r>
    <d v="2025-02-03T00:00:00"/>
    <x v="0"/>
    <x v="0"/>
    <s v="Mohamed BENDAOUD"/>
    <x v="1"/>
    <x v="8"/>
    <m/>
    <s v="ELECTRIQUE"/>
    <s v="ZOUBAIR LAMRABAT"/>
    <n v="120"/>
    <s v="blockage de serre fil"/>
    <s v="reglage mecanique et inverssement de detecteur"/>
    <s v="Terminer"/>
    <s v="RAS"/>
  </r>
  <r>
    <d v="2025-02-03T00:00:00"/>
    <x v="0"/>
    <x v="0"/>
    <s v="Mohamed BENDAOUD"/>
    <x v="1"/>
    <x v="9"/>
    <m/>
    <s v="MECANIQUE"/>
    <s v="BEN DAOUD MOHAMED"/>
    <n v="25"/>
    <s v="detection de pied"/>
    <s v="reglage de support de raill et detecteur"/>
    <s v="Terminer"/>
    <s v="RAS"/>
  </r>
  <r>
    <d v="2025-02-03T00:00:00"/>
    <x v="0"/>
    <x v="0"/>
    <s v="Mohamed BENDAOUD"/>
    <x v="1"/>
    <x v="10"/>
    <m/>
    <s v="MECANIQUE"/>
    <s v="ZOUBAIR LAMRABAT"/>
    <n v="35"/>
    <s v="Probleme de separateur"/>
    <s v="reglage mecanique et electrique"/>
    <s v="Terminer"/>
    <s v="RAS"/>
  </r>
  <r>
    <d v="2025-02-03T00:00:00"/>
    <x v="0"/>
    <x v="0"/>
    <s v="Mohamed BENDAOUD"/>
    <x v="1"/>
    <x v="10"/>
    <m/>
    <s v="MECANIQUE"/>
    <s v="Smail EL MOHAMADI"/>
    <n v="30"/>
    <s v="Probleme de separateur"/>
    <s v="reglage mecanique et fixation de verin separateur"/>
    <s v="Terminer"/>
    <s v="RAS"/>
  </r>
  <r>
    <d v="2025-02-03T00:00:00"/>
    <x v="0"/>
    <x v="0"/>
    <s v="Mohamed BENDAOUD"/>
    <x v="2"/>
    <x v="11"/>
    <m/>
    <s v="MECANIQUE"/>
    <s v="LARHIOUCH RACHID"/>
    <n v="30"/>
    <s v="degradation de porte de securitee"/>
    <s v="ajustement de la port et reglage de pixiglasse"/>
    <s v="Terminer"/>
    <s v="RAS"/>
  </r>
  <r>
    <d v="2025-02-03T00:00:00"/>
    <x v="0"/>
    <x v="0"/>
    <s v="Mohamed BENDAOUD"/>
    <x v="2"/>
    <x v="12"/>
    <m/>
    <s v="MECANIQUE"/>
    <s v="Smail EL MOHAMADI"/>
    <n v="40"/>
    <s v="changement d'aplicateur"/>
    <s v="changement de modification fait au applicateur et ajustement"/>
    <s v="Terminer"/>
    <s v="RAS"/>
  </r>
  <r>
    <d v="2025-02-03T00:00:00"/>
    <x v="0"/>
    <x v="0"/>
    <s v="Mohamed BENDAOUD"/>
    <x v="2"/>
    <x v="13"/>
    <m/>
    <s v="ELECTRIQUE"/>
    <s v="Smail EL MOHAMADI"/>
    <n v="20"/>
    <s v="Pb camera "/>
    <s v="reamement et demmarage"/>
    <s v="Terminer"/>
    <s v="RAS"/>
  </r>
  <r>
    <d v="2025-02-03T00:00:00"/>
    <x v="0"/>
    <x v="0"/>
    <s v="Mohamed BENDAOUD"/>
    <x v="2"/>
    <x v="14"/>
    <m/>
    <s v="MECANIQUE"/>
    <s v="Smail EL MOHAMADI"/>
    <n v="30"/>
    <s v="Pb bobonage NOK"/>
    <s v="suivi de machine et reglage d'aiguille"/>
    <s v="Terminer"/>
    <s v="RAS"/>
  </r>
  <r>
    <d v="2025-02-04T00:00:00"/>
    <x v="0"/>
    <x v="0"/>
    <s v="Mohamed BENDAOUD"/>
    <x v="1"/>
    <x v="15"/>
    <m/>
    <s v="ELECTRIQUE"/>
    <s v="ZOUBAIR LAMRABAT"/>
    <n v="30"/>
    <s v="Probleme de poste 9 et 3"/>
    <s v="Reglage + Ajustement position de detecteur + Ajustement position des connecteurs  "/>
    <s v="Terminer"/>
    <s v="RAS"/>
  </r>
  <r>
    <d v="2025-02-04T00:00:00"/>
    <x v="0"/>
    <x v="0"/>
    <s v="Mohamed BENDAOUD"/>
    <x v="0"/>
    <x v="16"/>
    <m/>
    <s v="MECANIQUE"/>
    <s v="LARHIOUCH RACHID"/>
    <n v="150"/>
    <s v="sertissage NOK"/>
    <s v="ajustage position de terminnal"/>
    <s v="Terminer"/>
    <s v="RAS"/>
  </r>
  <r>
    <d v="2025-02-04T00:00:00"/>
    <x v="0"/>
    <x v="0"/>
    <s v="Mohamed BENDAOUD"/>
    <x v="2"/>
    <x v="12"/>
    <m/>
    <s v="MECANIQUE"/>
    <s v="BEN DAOUD MOHAMED"/>
    <n v="20"/>
    <s v="changement d'aplicateur"/>
    <s v="changement d'aplicateur + ajustage denudage et sertissage"/>
    <s v="Terminer"/>
    <s v="RAS"/>
  </r>
  <r>
    <d v="2025-02-04T00:00:00"/>
    <x v="0"/>
    <x v="0"/>
    <s v="Mohamed BENDAOUD"/>
    <x v="2"/>
    <x v="14"/>
    <m/>
    <s v="MECANIQUE"/>
    <s v="Smail EL MOHAMADI"/>
    <n v="20"/>
    <s v="Pb bobonage NOK"/>
    <s v="ajustage position d'aiguille "/>
    <s v="Terminer"/>
    <s v="RAS"/>
  </r>
  <r>
    <d v="2025-02-04T00:00:00"/>
    <x v="0"/>
    <x v="0"/>
    <s v="Mohamed BENDAOUD"/>
    <x v="2"/>
    <x v="11"/>
    <m/>
    <s v="MECANIQUE"/>
    <s v="Smail EL MOHAMADI"/>
    <n v="35"/>
    <s v="changement d'aplicateur"/>
    <s v="changement d'aplicateur + ajustage denudage et sertissage"/>
    <s v="Terminer"/>
    <s v="RAS"/>
  </r>
  <r>
    <d v="2025-02-04T00:00:00"/>
    <x v="0"/>
    <x v="0"/>
    <s v="Mohamed BENDAOUD"/>
    <x v="1"/>
    <x v="17"/>
    <m/>
    <s v="MECANIQUE"/>
    <s v="ZOUBAIR LAMRABAT"/>
    <n v="25"/>
    <m/>
    <s v="Repparation 3 press manuels"/>
    <s v="Terminer"/>
    <s v="RAS"/>
  </r>
  <r>
    <d v="2025-02-04T00:00:00"/>
    <x v="0"/>
    <x v="0"/>
    <s v="Mohamed BENDAOUD"/>
    <x v="0"/>
    <x v="16"/>
    <m/>
    <s v="MECANIQUE"/>
    <s v="LARHIOUCH RACHID"/>
    <n v="30"/>
    <s v="sertissage NOK"/>
    <s v="Ajustement de lavance de applicateur"/>
    <s v="Terminer"/>
    <s v="RAS"/>
  </r>
  <r>
    <d v="2025-02-04T00:00:00"/>
    <x v="0"/>
    <x v="0"/>
    <s v="Mohamed BENDAOUD"/>
    <x v="0"/>
    <x v="6"/>
    <s v="presse scoba"/>
    <s v="MECANIQUE"/>
    <s v="BEN DAOUD MOHAMED"/>
    <n v="20"/>
    <s v="changement les pines"/>
    <s v="changement 2 pine casse"/>
    <s v="Terminer"/>
    <s v="RAS"/>
  </r>
  <r>
    <d v="2025-02-04T00:00:00"/>
    <x v="0"/>
    <x v="0"/>
    <s v="Mohamed BENDAOUD"/>
    <x v="1"/>
    <x v="10"/>
    <m/>
    <s v="MECANIQUE"/>
    <s v="ZOUBAIR LAMRABAT"/>
    <n v="30"/>
    <m/>
    <s v="Reglage la machine + Ajustement"/>
    <s v="Terminer"/>
    <s v="RAS"/>
  </r>
  <r>
    <d v="2025-02-04T00:00:00"/>
    <x v="0"/>
    <x v="0"/>
    <s v="Mohamed BENDAOUD"/>
    <x v="1"/>
    <x v="10"/>
    <m/>
    <s v="MECANIQUE"/>
    <s v="BEN DAOUD MOHAMED"/>
    <n v="220"/>
    <s v="Panne electrique"/>
    <s v="Changement fin de course de porte securité + Cablage a nouveau"/>
    <s v="Terminer"/>
    <s v="RAS"/>
  </r>
  <r>
    <d v="2025-02-04T00:00:00"/>
    <x v="0"/>
    <x v="0"/>
    <s v="Mohamed BENDAOUD"/>
    <x v="1"/>
    <x v="7"/>
    <m/>
    <s v="MECANIQUE"/>
    <s v="ZOUBAIR LAMRABAT"/>
    <n v="50"/>
    <s v="Pb de position bas"/>
    <s v="Réglage de position de la chaine de la machine"/>
    <s v="Terminer"/>
    <s v="RAS"/>
  </r>
  <r>
    <d v="2025-02-05T00:00:00"/>
    <x v="0"/>
    <x v="0"/>
    <s v="Mohamed BENDAOUD"/>
    <x v="1"/>
    <x v="18"/>
    <m/>
    <s v="MECANIQUE"/>
    <s v="ZOUBAIR LAMRABAT"/>
    <n v="35"/>
    <s v="Pb marquage"/>
    <s v="Réglage position de tete"/>
    <s v="Terminer"/>
    <s v="RAS"/>
  </r>
  <r>
    <d v="2025-02-05T00:00:00"/>
    <x v="0"/>
    <x v="0"/>
    <s v="Mohamed BENDAOUD"/>
    <x v="1"/>
    <x v="10"/>
    <m/>
    <s v="MECANIQUE"/>
    <s v="Smail EL MOHAMADI"/>
    <n v="50"/>
    <s v="Panne machine"/>
    <s v="Réglage de la machine"/>
    <s v="Terminer"/>
    <s v="RAS"/>
  </r>
  <r>
    <d v="2025-02-05T00:00:00"/>
    <x v="0"/>
    <x v="0"/>
    <s v="Mohamed BENDAOUD"/>
    <x v="1"/>
    <x v="19"/>
    <m/>
    <s v="ELECTRIQUE"/>
    <s v="BEN DAOUD MOHAMED"/>
    <n v="10"/>
    <s v="Panne machine"/>
    <s v="Rearement de la machine"/>
    <s v="Terminer"/>
    <s v="RAS"/>
  </r>
  <r>
    <d v="2025-02-05T00:00:00"/>
    <x v="0"/>
    <x v="0"/>
    <s v="Mohamed BENDAOUD"/>
    <x v="1"/>
    <x v="18"/>
    <m/>
    <s v="MECANIQUE"/>
    <s v="ZOUBAIR LAMRABAT"/>
    <n v="30"/>
    <s v="Probleme de soudage"/>
    <s v="Réglage de l'ensacheuse"/>
    <s v="Terminer"/>
    <s v="RAS"/>
  </r>
  <r>
    <d v="2025-02-05T00:00:00"/>
    <x v="0"/>
    <x v="0"/>
    <s v="Mohamed BENDAOUD"/>
    <x v="2"/>
    <x v="12"/>
    <m/>
    <s v="MECANIQUE"/>
    <s v="Smail EL MOHAMADI"/>
    <n v="15"/>
    <s v="changement d'aplicateur"/>
    <s v="changement d'aplicateur + ajustage denudage et sertissage"/>
    <s v="Terminer"/>
    <s v="RAS"/>
  </r>
  <r>
    <d v="2025-02-05T00:00:00"/>
    <x v="0"/>
    <x v="0"/>
    <s v="Mohamed BENDAOUD"/>
    <x v="2"/>
    <x v="11"/>
    <m/>
    <s v="MECANIQUE"/>
    <s v="Smail EL MOHAMADI"/>
    <n v="20"/>
    <s v="sertissage NOK"/>
    <s v="ajustage position de terminnal"/>
    <s v="Terminer"/>
    <s v="RAS"/>
  </r>
  <r>
    <d v="2025-02-05T00:00:00"/>
    <x v="0"/>
    <x v="0"/>
    <s v="Mohamed BENDAOUD"/>
    <x v="2"/>
    <x v="20"/>
    <m/>
    <s v="MECANIQUE"/>
    <s v="Smail EL MOHAMADI"/>
    <n v="25"/>
    <s v="Pb capteur de file "/>
    <s v="reglage palpeur de capteur de file "/>
    <s v="Terminer"/>
    <s v="RAS"/>
  </r>
  <r>
    <d v="2025-02-05T00:00:00"/>
    <x v="0"/>
    <x v="0"/>
    <s v="Mohamed BENDAOUD"/>
    <x v="2"/>
    <x v="14"/>
    <m/>
    <s v="MECANIQUE"/>
    <s v="Smail EL MOHAMADI"/>
    <n v="20"/>
    <s v="Pb bobonage NOK"/>
    <s v="change et ajustage position d'aiguille "/>
    <s v="Terminer"/>
    <s v="RAS"/>
  </r>
  <r>
    <d v="2025-02-05T00:00:00"/>
    <x v="0"/>
    <x v="0"/>
    <s v="Mohamed BENDAOUD"/>
    <x v="0"/>
    <x v="21"/>
    <s v="HR"/>
    <s v="MECANIQUE"/>
    <s v="LARHIOUCH RACHID"/>
    <n v="40"/>
    <s v="Pb capteur de file "/>
    <s v="reglage palpeur de capteur de file "/>
    <s v="Terminer"/>
    <s v="RAS"/>
  </r>
  <r>
    <d v="2025-02-05T00:00:00"/>
    <x v="0"/>
    <x v="0"/>
    <s v="Mohamed BENDAOUD"/>
    <x v="2"/>
    <x v="14"/>
    <m/>
    <s v="MECANIQUE"/>
    <s v="Smail EL MOHAMADI"/>
    <n v="35"/>
    <s v="Pb bobonage NOK"/>
    <s v="change et ajustage position d'aiguille "/>
    <s v="Terminer"/>
    <s v="RAS"/>
  </r>
  <r>
    <d v="2025-02-05T00:00:00"/>
    <x v="0"/>
    <x v="0"/>
    <s v="Mohamed BENDAOUD"/>
    <x v="1"/>
    <x v="22"/>
    <m/>
    <s v="MECANIQUE"/>
    <s v="LARHIOUCH RACHID"/>
    <n v="35"/>
    <s v="Pb decalage"/>
    <s v="Réglage position de table"/>
    <s v="Terminer"/>
    <s v="RAS"/>
  </r>
  <r>
    <d v="2025-02-06T00:00:00"/>
    <x v="0"/>
    <x v="0"/>
    <s v="Mohamed BENDAOUD"/>
    <x v="0"/>
    <x v="16"/>
    <s v="2266450-2"/>
    <s v="MECANIQUE"/>
    <s v="BEN DAOUD MOHAMED"/>
    <n v="40"/>
    <s v="pb applicateur"/>
    <s v="ajustement mecanique"/>
    <s v="Terminer"/>
    <s v="RAS"/>
  </r>
  <r>
    <d v="2025-02-06T00:00:00"/>
    <x v="0"/>
    <x v="0"/>
    <s v="Mohamed BENDAOUD"/>
    <x v="0"/>
    <x v="23"/>
    <m/>
    <s v="PARAMETRES"/>
    <s v="BEN DAOUD MOHAMED"/>
    <n v="35"/>
    <s v="pb denedage"/>
    <s v="reglage de parametre"/>
    <s v="Terminer"/>
    <s v="RAS"/>
  </r>
  <r>
    <d v="2025-02-06T00:00:00"/>
    <x v="0"/>
    <x v="0"/>
    <s v="Mohamed BENDAOUD"/>
    <x v="0"/>
    <x v="5"/>
    <s v="contrôle"/>
    <s v="ELECTRIQUE"/>
    <s v="LAHOUCINE LMBARKI"/>
    <n v="60"/>
    <s v="pb pin "/>
    <s v="changement pin et reglage contre piece"/>
    <s v="Terminer"/>
    <s v="RAS"/>
  </r>
  <r>
    <d v="2025-02-06T00:00:00"/>
    <x v="0"/>
    <x v="0"/>
    <s v="Mohamed BENDAOUD"/>
    <x v="0"/>
    <x v="5"/>
    <s v="SIEMENS"/>
    <s v="ELECTRIQUE"/>
    <s v="LAHOUCINE LMBARKI"/>
    <n v="35"/>
    <s v="pb adapteur"/>
    <s v="changement pin casse"/>
    <s v="Terminer"/>
    <s v="RAS"/>
  </r>
  <r>
    <d v="2025-02-06T00:00:00"/>
    <x v="0"/>
    <x v="0"/>
    <s v="Mohamed BENDAOUD"/>
    <x v="0"/>
    <x v="5"/>
    <s v="ligne8"/>
    <s v="ELECTRIQUE"/>
    <s v="BEN DAOUD MOHAMED"/>
    <n v="30"/>
    <s v="pb adapteur"/>
    <s v="reglage contre piece"/>
    <s v="Terminer"/>
    <s v="RAS"/>
  </r>
  <r>
    <d v="2025-02-06T00:00:00"/>
    <x v="0"/>
    <x v="0"/>
    <s v="Mohamed BENDAOUD"/>
    <x v="0"/>
    <x v="24"/>
    <m/>
    <s v="MECANIQUE"/>
    <s v="BEN DAOUD MOHAMED"/>
    <n v="40"/>
    <s v="pb denedage"/>
    <s v="ajustement mecanique et reglage machine"/>
    <s v="Terminer"/>
    <s v="RAS"/>
  </r>
  <r>
    <d v="2025-02-06T00:00:00"/>
    <x v="0"/>
    <x v="0"/>
    <s v="Mohamed BENDAOUD"/>
    <x v="0"/>
    <x v="25"/>
    <m/>
    <s v="PARAMETRES"/>
    <s v="BEN DAOUD MOHAMED"/>
    <n v="20"/>
    <s v="pb sertissage"/>
    <s v="reglage palpeur de capteur de file "/>
    <s v="Terminer"/>
    <s v="RAS"/>
  </r>
  <r>
    <d v="2025-02-06T00:00:00"/>
    <x v="0"/>
    <x v="0"/>
    <s v="Mohamed BENDAOUD"/>
    <x v="0"/>
    <x v="26"/>
    <m/>
    <s v="PARAMETRES"/>
    <s v="BEN DAOUD MOHAMED"/>
    <n v="25"/>
    <s v="pb soudage"/>
    <s v="reglage des pieces de soudage"/>
    <s v="Terminer"/>
    <s v="RAS"/>
  </r>
  <r>
    <d v="2025-02-06T00:00:00"/>
    <x v="0"/>
    <x v="0"/>
    <s v="Mohamed BENDAOUD"/>
    <x v="1"/>
    <x v="10"/>
    <m/>
    <s v="MECANIQUE"/>
    <s v="Smail EL MOHAMADI"/>
    <n v="40"/>
    <s v="pb convoyeur"/>
    <s v="reglage d'acoplement retatif"/>
    <s v="Terminer"/>
    <s v="RAS"/>
  </r>
  <r>
    <d v="2025-02-06T00:00:00"/>
    <x v="0"/>
    <x v="0"/>
    <s v="Mohamed BENDAOUD"/>
    <x v="1"/>
    <x v="7"/>
    <m/>
    <s v="MECANIQUE"/>
    <s v="ZOUBAIR LAMRABAT"/>
    <n v="260"/>
    <s v="pb posage et chaine"/>
    <s v="reglage de courois et synchronisation"/>
    <s v="Terminer"/>
    <s v="RAS"/>
  </r>
  <r>
    <d v="2025-02-06T00:00:00"/>
    <x v="0"/>
    <x v="0"/>
    <s v="Mohamed BENDAOUD"/>
    <x v="1"/>
    <x v="19"/>
    <m/>
    <s v="PNEUMATIQUE"/>
    <s v="ZOUBAIR LAMRABAT"/>
    <n v="35"/>
    <s v="pb insertion rossort"/>
    <s v="reglage de verin 214"/>
    <s v="Terminer"/>
    <s v="RAS"/>
  </r>
  <r>
    <d v="2025-02-06T00:00:00"/>
    <x v="0"/>
    <x v="0"/>
    <s v="Mohamed BENDAOUD"/>
    <x v="1"/>
    <x v="27"/>
    <m/>
    <s v="PNEUMATIQUE"/>
    <s v="ZOUBAIR LAMRABAT"/>
    <n v="30"/>
    <s v="pb poste 26"/>
    <s v="changement raccord et reglage de poste barrette"/>
    <s v="Terminer"/>
    <s v="RAS"/>
  </r>
  <r>
    <d v="2025-02-06T00:00:00"/>
    <x v="0"/>
    <x v="0"/>
    <s v="Mohamed BENDAOUD"/>
    <x v="1"/>
    <x v="17"/>
    <m/>
    <s v="MECANIQUE"/>
    <s v="ZOUBAIR LAMRABAT"/>
    <n v="25"/>
    <s v="pb insertion "/>
    <s v="reglage mecainque"/>
    <s v="Terminer"/>
    <s v="RAS"/>
  </r>
  <r>
    <d v="2025-02-06T00:00:00"/>
    <x v="0"/>
    <x v="0"/>
    <s v="Mohamed BENDAOUD"/>
    <x v="2"/>
    <x v="12"/>
    <m/>
    <s v="MECANIQUE"/>
    <s v="Smail EL MOHAMADI"/>
    <n v="60"/>
    <s v="pb detecteur denedage"/>
    <s v="reglage detecteur et ajustement mecanique"/>
    <s v="Terminer"/>
    <s v="RAS"/>
  </r>
  <r>
    <d v="2025-02-06T00:00:00"/>
    <x v="0"/>
    <x v="0"/>
    <s v="Mohamed BENDAOUD"/>
    <x v="2"/>
    <x v="28"/>
    <m/>
    <s v="ELECTRIQUE"/>
    <s v="Smail EL MOHAMADI"/>
    <n v="20"/>
    <s v="pb resistance"/>
    <s v="inversement de carte et reglage parametre"/>
    <s v="Terminer"/>
    <s v="RAS"/>
  </r>
  <r>
    <d v="2025-02-06T00:00:00"/>
    <x v="0"/>
    <x v="0"/>
    <s v="Mohamed BENDAOUD"/>
    <x v="1"/>
    <x v="29"/>
    <m/>
    <s v="MECANIQUE"/>
    <s v="BEN DAOUD MOHAMED"/>
    <n v="20"/>
    <s v="pb porte de securiter"/>
    <s v="reglage de switch de securiter"/>
    <s v="Terminer"/>
    <s v="RAS"/>
  </r>
  <r>
    <d v="2025-02-06T00:00:00"/>
    <x v="0"/>
    <x v="0"/>
    <s v="Mohamed BENDAOUD"/>
    <x v="1"/>
    <x v="10"/>
    <m/>
    <s v="MECANIQUE"/>
    <s v="ZOUBAIR LAMRABAT"/>
    <n v="40"/>
    <s v="pb convoyeur et separateur"/>
    <s v="synchronisation de chaine et rotatif"/>
    <s v="Terminer"/>
    <s v="RAS"/>
  </r>
  <r>
    <d v="2025-02-06T00:00:00"/>
    <x v="0"/>
    <x v="0"/>
    <s v="Mohamed BENDAOUD"/>
    <x v="2"/>
    <x v="30"/>
    <m/>
    <s v="MECANIQUE"/>
    <s v="Smail EL MOHAMADI"/>
    <n v="30"/>
    <s v="pb aiguille"/>
    <s v="ajustement mecanique et suivi"/>
    <s v="Terminer"/>
    <s v="RAS"/>
  </r>
  <r>
    <d v="2025-02-07T00:00:00"/>
    <x v="0"/>
    <x v="0"/>
    <s v="Mohamed BENDAOUD"/>
    <x v="3"/>
    <x v="31"/>
    <m/>
    <m/>
    <m/>
    <m/>
    <m/>
    <m/>
    <m/>
    <s v="RAS"/>
  </r>
  <r>
    <d v="2025-02-07T00:00:00"/>
    <x v="0"/>
    <x v="0"/>
    <s v="Mohamed BENDAOUD"/>
    <x v="3"/>
    <x v="31"/>
    <m/>
    <m/>
    <m/>
    <m/>
    <m/>
    <m/>
    <m/>
    <s v="RAS"/>
  </r>
  <r>
    <d v="2025-02-07T00:00:00"/>
    <x v="0"/>
    <x v="0"/>
    <s v="Mohamed BENDAOUD"/>
    <x v="3"/>
    <x v="31"/>
    <m/>
    <m/>
    <m/>
    <m/>
    <m/>
    <m/>
    <m/>
    <s v="RAS"/>
  </r>
  <r>
    <d v="2025-02-07T00:00:00"/>
    <x v="0"/>
    <x v="0"/>
    <s v="Mohamed BENDAOUD"/>
    <x v="3"/>
    <x v="31"/>
    <m/>
    <m/>
    <m/>
    <m/>
    <m/>
    <m/>
    <m/>
    <s v="RAS"/>
  </r>
  <r>
    <d v="2025-02-07T00:00:00"/>
    <x v="0"/>
    <x v="0"/>
    <s v="Mohamed BENDAOUD"/>
    <x v="3"/>
    <x v="31"/>
    <m/>
    <m/>
    <m/>
    <m/>
    <m/>
    <m/>
    <m/>
    <s v="RAS"/>
  </r>
  <r>
    <d v="2025-02-07T00:00:00"/>
    <x v="0"/>
    <x v="0"/>
    <s v="Mohamed BENDAOUD"/>
    <x v="3"/>
    <x v="31"/>
    <m/>
    <m/>
    <m/>
    <m/>
    <m/>
    <m/>
    <m/>
    <s v="RAS"/>
  </r>
  <r>
    <d v="2025-02-07T00:00:00"/>
    <x v="0"/>
    <x v="0"/>
    <s v="Mohamed BENDAOUD"/>
    <x v="3"/>
    <x v="31"/>
    <m/>
    <m/>
    <m/>
    <m/>
    <m/>
    <m/>
    <m/>
    <s v="RAS"/>
  </r>
  <r>
    <d v="2025-02-07T00:00:00"/>
    <x v="0"/>
    <x v="0"/>
    <s v="Mohamed BENDAOUD"/>
    <x v="3"/>
    <x v="31"/>
    <m/>
    <m/>
    <m/>
    <m/>
    <m/>
    <m/>
    <m/>
    <s v="RAS"/>
  </r>
  <r>
    <d v="2025-02-07T00:00:00"/>
    <x v="0"/>
    <x v="0"/>
    <s v="Mohamed BENDAOUD"/>
    <x v="3"/>
    <x v="31"/>
    <m/>
    <m/>
    <m/>
    <m/>
    <m/>
    <m/>
    <m/>
    <s v="RAS"/>
  </r>
  <r>
    <d v="2025-02-07T00:00:00"/>
    <x v="0"/>
    <x v="0"/>
    <s v="Mohamed BENDAOUD"/>
    <x v="3"/>
    <x v="31"/>
    <m/>
    <m/>
    <m/>
    <m/>
    <m/>
    <m/>
    <m/>
    <s v="RAS"/>
  </r>
  <r>
    <d v="2025-02-07T00:00:00"/>
    <x v="0"/>
    <x v="0"/>
    <s v="Mohamed BENDAOUD"/>
    <x v="3"/>
    <x v="31"/>
    <m/>
    <m/>
    <m/>
    <m/>
    <m/>
    <m/>
    <m/>
    <s v="RAS"/>
  </r>
  <r>
    <d v="2025-02-07T00:00:00"/>
    <x v="0"/>
    <x v="0"/>
    <s v="Mohamed BENDAOUD"/>
    <x v="3"/>
    <x v="31"/>
    <m/>
    <m/>
    <m/>
    <m/>
    <m/>
    <m/>
    <m/>
    <s v="RAS"/>
  </r>
  <r>
    <d v="2025-02-08T00:00:00"/>
    <x v="0"/>
    <x v="0"/>
    <s v="Mohamed BENDAOUD"/>
    <x v="3"/>
    <x v="31"/>
    <m/>
    <m/>
    <m/>
    <m/>
    <m/>
    <m/>
    <m/>
    <s v="RAS"/>
  </r>
  <r>
    <d v="2025-02-08T00:00:00"/>
    <x v="0"/>
    <x v="0"/>
    <s v="Mohamed BENDAOUD"/>
    <x v="3"/>
    <x v="31"/>
    <m/>
    <m/>
    <m/>
    <m/>
    <m/>
    <m/>
    <m/>
    <s v="RAS"/>
  </r>
  <r>
    <d v="2025-02-08T00:00:00"/>
    <x v="0"/>
    <x v="0"/>
    <s v="Mohamed BENDAOUD"/>
    <x v="3"/>
    <x v="31"/>
    <m/>
    <m/>
    <m/>
    <m/>
    <m/>
    <m/>
    <m/>
    <s v="RAS"/>
  </r>
  <r>
    <d v="2025-02-08T00:00:00"/>
    <x v="0"/>
    <x v="0"/>
    <s v="Mohamed BENDAOUD"/>
    <x v="3"/>
    <x v="31"/>
    <m/>
    <m/>
    <m/>
    <m/>
    <m/>
    <m/>
    <m/>
    <s v="RAS"/>
  </r>
  <r>
    <d v="2025-02-08T00:00:00"/>
    <x v="0"/>
    <x v="0"/>
    <s v="Mohamed BENDAOUD"/>
    <x v="3"/>
    <x v="31"/>
    <m/>
    <m/>
    <m/>
    <m/>
    <m/>
    <m/>
    <m/>
    <s v="RAS"/>
  </r>
  <r>
    <d v="2025-02-08T00:00:00"/>
    <x v="0"/>
    <x v="0"/>
    <s v="Mohamed BENDAOUD"/>
    <x v="3"/>
    <x v="31"/>
    <m/>
    <m/>
    <m/>
    <m/>
    <m/>
    <m/>
    <m/>
    <s v="RAS"/>
  </r>
  <r>
    <d v="2025-02-08T00:00:00"/>
    <x v="0"/>
    <x v="0"/>
    <s v="Mohamed BENDAOUD"/>
    <x v="3"/>
    <x v="31"/>
    <m/>
    <m/>
    <m/>
    <m/>
    <m/>
    <m/>
    <m/>
    <s v="RAS"/>
  </r>
  <r>
    <d v="2025-02-08T00:00:00"/>
    <x v="0"/>
    <x v="0"/>
    <s v="Mohamed BENDAOUD"/>
    <x v="3"/>
    <x v="31"/>
    <m/>
    <m/>
    <m/>
    <m/>
    <m/>
    <m/>
    <m/>
    <s v="RAS"/>
  </r>
  <r>
    <d v="2025-02-08T00:00:00"/>
    <x v="0"/>
    <x v="0"/>
    <s v="Mohamed BENDAOUD"/>
    <x v="3"/>
    <x v="31"/>
    <m/>
    <m/>
    <m/>
    <m/>
    <m/>
    <m/>
    <m/>
    <s v="RAS"/>
  </r>
  <r>
    <d v="2025-02-08T00:00:00"/>
    <x v="0"/>
    <x v="0"/>
    <s v="Mohamed BENDAOUD"/>
    <x v="3"/>
    <x v="31"/>
    <m/>
    <m/>
    <m/>
    <m/>
    <m/>
    <m/>
    <m/>
    <s v="RAS"/>
  </r>
  <r>
    <d v="2025-02-08T00:00:00"/>
    <x v="0"/>
    <x v="0"/>
    <s v="Mohamed BENDAOUD"/>
    <x v="3"/>
    <x v="31"/>
    <m/>
    <m/>
    <m/>
    <m/>
    <m/>
    <m/>
    <m/>
    <s v="RAS"/>
  </r>
  <r>
    <d v="2025-02-09T00:00:00"/>
    <x v="1"/>
    <x v="0"/>
    <s v="Mohamed BENDAOUD"/>
    <x v="1"/>
    <x v="7"/>
    <m/>
    <s v="MECANIQUE"/>
    <s v="BEN DAOUD MOHAMED"/>
    <m/>
    <s v="pb decalage de chaine"/>
    <s v="changement de motoreducteur et synchronisation de chaine par rapport au courois"/>
    <s v="Terminer"/>
    <s v="RAS"/>
  </r>
  <r>
    <d v="2025-02-10T00:00:00"/>
    <x v="1"/>
    <x v="0"/>
    <s v="Mohamed BENDAOUD"/>
    <x v="1"/>
    <x v="27"/>
    <m/>
    <s v="MECANIQUE"/>
    <s v="ZOUBAIR LAMRABAT"/>
    <n v="350"/>
    <m/>
    <m/>
    <m/>
    <s v="RAS"/>
  </r>
  <r>
    <d v="2025-02-10T00:00:00"/>
    <x v="1"/>
    <x v="0"/>
    <s v="Mohamed BENDAOUD"/>
    <x v="1"/>
    <x v="18"/>
    <m/>
    <s v="ELECTRIQUE"/>
    <s v="ZOUBAIR LAMRABAT"/>
    <n v="460"/>
    <m/>
    <m/>
    <m/>
    <s v="RAS"/>
  </r>
  <r>
    <d v="2025-02-10T00:00:00"/>
    <x v="1"/>
    <x v="0"/>
    <s v="Mohamed BENDAOUD"/>
    <x v="1"/>
    <x v="10"/>
    <m/>
    <s v="ELECTRIQUE"/>
    <s v="Smail EL MOHAMADI"/>
    <n v="40"/>
    <m/>
    <m/>
    <m/>
    <s v="RAS"/>
  </r>
  <r>
    <d v="2025-02-10T00:00:00"/>
    <x v="1"/>
    <x v="0"/>
    <s v="Mohamed BENDAOUD"/>
    <x v="1"/>
    <x v="32"/>
    <m/>
    <s v="MECANIQUE"/>
    <s v="BEN DAOUD MOHAMED"/>
    <n v="25"/>
    <m/>
    <m/>
    <m/>
    <s v="RAS"/>
  </r>
  <r>
    <d v="2025-02-10T00:00:00"/>
    <x v="1"/>
    <x v="0"/>
    <s v="Mohamed BENDAOUD"/>
    <x v="1"/>
    <x v="33"/>
    <m/>
    <s v="MECANIQUE"/>
    <s v="Smail EL MOHAMADI"/>
    <n v="30"/>
    <s v="cuting raill"/>
    <m/>
    <m/>
    <s v="RAS"/>
  </r>
  <r>
    <d v="2025-02-10T00:00:00"/>
    <x v="1"/>
    <x v="0"/>
    <s v="Mohamed BENDAOUD"/>
    <x v="1"/>
    <x v="17"/>
    <m/>
    <s v="MECANIQUE"/>
    <s v="LARHIOUCH RACHID"/>
    <n v="25"/>
    <m/>
    <m/>
    <m/>
    <s v="RAS"/>
  </r>
  <r>
    <d v="2025-02-10T00:00:00"/>
    <x v="1"/>
    <x v="0"/>
    <s v="Mohamed BENDAOUD"/>
    <x v="1"/>
    <x v="17"/>
    <m/>
    <s v="MECANIQUE"/>
    <s v="ANAS MOUHCINE"/>
    <n v="25"/>
    <m/>
    <m/>
    <m/>
    <s v="RAS"/>
  </r>
  <r>
    <d v="2025-02-10T00:00:00"/>
    <x v="1"/>
    <x v="0"/>
    <s v="Mohamed BENDAOUD"/>
    <x v="1"/>
    <x v="17"/>
    <m/>
    <s v="MECANIQUE"/>
    <s v="ZOUBAIR LAMRABAT"/>
    <n v="25"/>
    <m/>
    <m/>
    <m/>
    <s v="RAS"/>
  </r>
  <r>
    <d v="2025-02-10T00:00:00"/>
    <x v="1"/>
    <x v="0"/>
    <s v="Mohamed BENDAOUD"/>
    <x v="1"/>
    <x v="10"/>
    <m/>
    <s v="ELECTRIQUE"/>
    <s v="Smail EL MOHAMADI"/>
    <n v="20"/>
    <m/>
    <m/>
    <m/>
    <s v="RAS"/>
  </r>
  <r>
    <d v="2025-02-10T00:00:00"/>
    <x v="1"/>
    <x v="0"/>
    <s v="Mohamed BENDAOUD"/>
    <x v="0"/>
    <x v="34"/>
    <m/>
    <s v="HYDRAULIQUE"/>
    <s v="ANAS MOUHCINE"/>
    <n v="50"/>
    <m/>
    <m/>
    <m/>
    <s v="RAS"/>
  </r>
  <r>
    <d v="2025-02-10T00:00:00"/>
    <x v="1"/>
    <x v="0"/>
    <s v="Mohamed BENDAOUD"/>
    <x v="0"/>
    <x v="35"/>
    <m/>
    <s v="MECANIQUE"/>
    <s v="ANAS MOUHCINE"/>
    <n v="35"/>
    <m/>
    <m/>
    <m/>
    <s v="RAS"/>
  </r>
  <r>
    <d v="2025-02-10T00:00:00"/>
    <x v="1"/>
    <x v="0"/>
    <s v="Mohamed BENDAOUD"/>
    <x v="0"/>
    <x v="5"/>
    <m/>
    <s v="MECANIQUE"/>
    <s v="ANAS MOUHCINE"/>
    <n v="15"/>
    <s v="pb teste ligne 8"/>
    <m/>
    <m/>
    <s v="RAS"/>
  </r>
  <r>
    <d v="2025-02-10T00:00:00"/>
    <x v="1"/>
    <x v="0"/>
    <s v="Mohamed BENDAOUD"/>
    <x v="0"/>
    <x v="36"/>
    <m/>
    <s v="PNEUMATIQUE"/>
    <s v="ANAS MOUHCINE"/>
    <n v="40"/>
    <m/>
    <m/>
    <m/>
    <s v="RAS"/>
  </r>
  <r>
    <d v="2025-02-10T00:00:00"/>
    <x v="1"/>
    <x v="0"/>
    <s v="Mohamed BENDAOUD"/>
    <x v="2"/>
    <x v="12"/>
    <m/>
    <s v="MECANIQUE"/>
    <s v="ANAS MOUHCINE"/>
    <n v="35"/>
    <m/>
    <m/>
    <m/>
    <s v="RAS"/>
  </r>
  <r>
    <d v="2025-02-10T00:00:00"/>
    <x v="1"/>
    <x v="0"/>
    <s v="Mohamed BENDAOUD"/>
    <x v="0"/>
    <x v="16"/>
    <m/>
    <s v="MECANIQUE"/>
    <s v="ANAS MOUHCINE"/>
    <n v="25"/>
    <m/>
    <m/>
    <m/>
    <s v="RAS"/>
  </r>
  <r>
    <d v="2025-02-10T00:00:00"/>
    <x v="1"/>
    <x v="0"/>
    <s v="Mohamed BENDAOUD"/>
    <x v="0"/>
    <x v="37"/>
    <m/>
    <s v="ELECTRONIQUE"/>
    <s v="LARHIOUCH RACHID"/>
    <n v="30"/>
    <m/>
    <m/>
    <m/>
    <s v="RAS"/>
  </r>
  <r>
    <d v="2025-02-10T00:00:00"/>
    <x v="1"/>
    <x v="0"/>
    <s v="Mohamed BENDAOUD"/>
    <x v="0"/>
    <x v="21"/>
    <m/>
    <s v="ELECTRONIQUE"/>
    <s v="LARHIOUCH RACHID"/>
    <n v="35"/>
    <m/>
    <m/>
    <m/>
    <s v="RAS"/>
  </r>
  <r>
    <d v="2025-02-10T00:00:00"/>
    <x v="1"/>
    <x v="0"/>
    <s v="Mohamed BENDAOUD"/>
    <x v="0"/>
    <x v="24"/>
    <m/>
    <s v="PNEUMATIQUE"/>
    <s v="LARHIOUCH RACHID"/>
    <n v="30"/>
    <m/>
    <m/>
    <m/>
    <s v="RAS"/>
  </r>
  <r>
    <d v="2025-02-10T00:00:00"/>
    <x v="1"/>
    <x v="0"/>
    <s v="Mohamed BENDAOUD"/>
    <x v="0"/>
    <x v="35"/>
    <m/>
    <s v="MECANIQUE"/>
    <s v="LARHIOUCH RACHID"/>
    <n v="25"/>
    <m/>
    <m/>
    <m/>
    <s v="RAS"/>
  </r>
  <r>
    <d v="2025-02-10T00:00:00"/>
    <x v="1"/>
    <x v="0"/>
    <s v="Mohamed BENDAOUD"/>
    <x v="2"/>
    <x v="38"/>
    <m/>
    <m/>
    <m/>
    <m/>
    <m/>
    <m/>
    <m/>
    <s v="RAS"/>
  </r>
  <r>
    <d v="2025-02-10T00:00:00"/>
    <x v="1"/>
    <x v="0"/>
    <s v="Mohamed BENDAOUD"/>
    <x v="2"/>
    <x v="12"/>
    <m/>
    <m/>
    <m/>
    <m/>
    <m/>
    <m/>
    <m/>
    <s v="RAS"/>
  </r>
  <r>
    <d v="2025-02-10T00:00:00"/>
    <x v="1"/>
    <x v="0"/>
    <s v="Mohamed BENDAOUD"/>
    <x v="2"/>
    <x v="39"/>
    <m/>
    <m/>
    <m/>
    <m/>
    <m/>
    <m/>
    <m/>
    <s v="RAS"/>
  </r>
  <r>
    <d v="2025-02-10T00:00:00"/>
    <x v="1"/>
    <x v="0"/>
    <s v="Mohamed BENDAOUD"/>
    <x v="2"/>
    <x v="31"/>
    <m/>
    <m/>
    <m/>
    <m/>
    <m/>
    <m/>
    <m/>
    <s v="RAS"/>
  </r>
  <r>
    <d v="2025-02-10T00:00:00"/>
    <x v="1"/>
    <x v="0"/>
    <s v="Mohamed BENDAOUD"/>
    <x v="2"/>
    <x v="31"/>
    <m/>
    <m/>
    <m/>
    <m/>
    <m/>
    <m/>
    <m/>
    <s v="RAS"/>
  </r>
  <r>
    <d v="2025-02-10T00:00:00"/>
    <x v="1"/>
    <x v="0"/>
    <s v="Mohamed BENDAOUD"/>
    <x v="2"/>
    <x v="31"/>
    <m/>
    <m/>
    <m/>
    <m/>
    <m/>
    <m/>
    <m/>
    <s v="RAS"/>
  </r>
  <r>
    <d v="2025-02-11T00:00:00"/>
    <x v="1"/>
    <x v="0"/>
    <s v="Mohamed BENDAOUD"/>
    <x v="0"/>
    <x v="40"/>
    <m/>
    <m/>
    <s v="BEN DAOUD MOHAMED"/>
    <n v="15"/>
    <m/>
    <m/>
    <m/>
    <s v="RAS"/>
  </r>
  <r>
    <d v="2025-02-11T00:00:00"/>
    <x v="1"/>
    <x v="0"/>
    <s v="Mohamed BENDAOUD"/>
    <x v="0"/>
    <x v="41"/>
    <m/>
    <m/>
    <s v="ANAS MOUHCINE"/>
    <n v="10"/>
    <m/>
    <m/>
    <m/>
    <s v="RAS"/>
  </r>
  <r>
    <d v="2025-02-11T00:00:00"/>
    <x v="1"/>
    <x v="0"/>
    <s v="Mohamed BENDAOUD"/>
    <x v="0"/>
    <x v="35"/>
    <m/>
    <m/>
    <s v="ANAS MOUHCINE"/>
    <n v="10"/>
    <m/>
    <m/>
    <m/>
    <s v="RAS"/>
  </r>
  <r>
    <d v="2025-02-11T00:00:00"/>
    <x v="1"/>
    <x v="0"/>
    <s v="Mohamed BENDAOUD"/>
    <x v="0"/>
    <x v="35"/>
    <m/>
    <m/>
    <s v="ANAS MOUHCINE"/>
    <n v="20"/>
    <m/>
    <m/>
    <m/>
    <s v="RAS"/>
  </r>
  <r>
    <d v="2025-02-11T00:00:00"/>
    <x v="1"/>
    <x v="0"/>
    <s v="Mohamed BENDAOUD"/>
    <x v="0"/>
    <x v="24"/>
    <m/>
    <m/>
    <s v="ANAS MOUHCINE"/>
    <n v="10"/>
    <m/>
    <m/>
    <m/>
    <s v="RAS"/>
  </r>
  <r>
    <d v="2025-02-11T00:00:00"/>
    <x v="1"/>
    <x v="0"/>
    <s v="Mohamed BENDAOUD"/>
    <x v="0"/>
    <x v="26"/>
    <m/>
    <m/>
    <s v="ANAS MOUHCINE"/>
    <n v="10"/>
    <m/>
    <m/>
    <m/>
    <s v="RAS"/>
  </r>
  <r>
    <d v="2025-02-11T00:00:00"/>
    <x v="1"/>
    <x v="0"/>
    <s v="Mohamed BENDAOUD"/>
    <x v="1"/>
    <x v="33"/>
    <m/>
    <m/>
    <s v="ANAS MOUHCINE"/>
    <n v="45"/>
    <m/>
    <m/>
    <m/>
    <s v="RAS"/>
  </r>
  <r>
    <d v="2025-02-11T00:00:00"/>
    <x v="1"/>
    <x v="0"/>
    <s v="Mohamed BENDAOUD"/>
    <x v="1"/>
    <x v="10"/>
    <m/>
    <m/>
    <s v="ZOUBAIR LAMRABAT"/>
    <n v="20"/>
    <m/>
    <m/>
    <m/>
    <s v="RAS"/>
  </r>
  <r>
    <d v="2025-02-11T00:00:00"/>
    <x v="1"/>
    <x v="0"/>
    <s v="Mohamed BENDAOUD"/>
    <x v="1"/>
    <x v="17"/>
    <m/>
    <m/>
    <s v="ANAS MOUHCINE"/>
    <n v="20"/>
    <m/>
    <m/>
    <m/>
    <s v="RAS"/>
  </r>
  <r>
    <d v="2025-02-11T00:00:00"/>
    <x v="1"/>
    <x v="0"/>
    <s v="Mohamed BENDAOUD"/>
    <x v="1"/>
    <x v="17"/>
    <m/>
    <m/>
    <s v="LARHIOUCH RACHID"/>
    <n v="25"/>
    <m/>
    <m/>
    <m/>
    <s v="RAS"/>
  </r>
  <r>
    <d v="2025-02-11T00:00:00"/>
    <x v="1"/>
    <x v="0"/>
    <s v="Mohamed BENDAOUD"/>
    <x v="2"/>
    <x v="39"/>
    <m/>
    <m/>
    <s v="Smail EL MOHAMADI"/>
    <n v="15"/>
    <m/>
    <m/>
    <m/>
    <s v="RAS"/>
  </r>
  <r>
    <d v="2025-02-11T00:00:00"/>
    <x v="1"/>
    <x v="0"/>
    <s v="Mohamed BENDAOUD"/>
    <x v="2"/>
    <x v="12"/>
    <m/>
    <m/>
    <s v="Smail EL MOHAMADI"/>
    <n v="20"/>
    <m/>
    <m/>
    <m/>
    <s v="RAS"/>
  </r>
  <r>
    <d v="2025-02-12T00:00:00"/>
    <x v="1"/>
    <x v="0"/>
    <s v="Mohamed BENDAOUD"/>
    <x v="0"/>
    <x v="5"/>
    <m/>
    <m/>
    <s v="LARHIOUCH RACHID"/>
    <n v="35"/>
    <m/>
    <m/>
    <m/>
    <s v="RAS"/>
  </r>
  <r>
    <d v="2025-02-13T00:00:00"/>
    <x v="1"/>
    <x v="0"/>
    <s v="Mohamed BENDAOUD"/>
    <x v="0"/>
    <x v="24"/>
    <m/>
    <m/>
    <s v="LARHIOUCH RACHID"/>
    <n v="25"/>
    <m/>
    <m/>
    <m/>
    <s v="RAS"/>
  </r>
  <r>
    <d v="2025-02-14T00:00:00"/>
    <x v="1"/>
    <x v="0"/>
    <s v="Mohamed BENDAOUD"/>
    <x v="0"/>
    <x v="35"/>
    <m/>
    <m/>
    <s v="LARHIOUCH RACHID"/>
    <n v="25"/>
    <m/>
    <m/>
    <m/>
    <s v="RAS"/>
  </r>
  <r>
    <d v="2025-02-15T00:00:00"/>
    <x v="1"/>
    <x v="0"/>
    <s v="Mohamed BENDAOUD"/>
    <x v="2"/>
    <x v="38"/>
    <m/>
    <m/>
    <s v="Smail EL MOHAMADI"/>
    <n v="30"/>
    <m/>
    <m/>
    <m/>
    <s v="RAS"/>
  </r>
  <r>
    <d v="2025-02-16T00:00:00"/>
    <x v="2"/>
    <x v="0"/>
    <s v="Mohamed BENDAOUD"/>
    <x v="1"/>
    <x v="7"/>
    <m/>
    <m/>
    <s v="BEN DAOUD MOHAMED"/>
    <n v="350"/>
    <m/>
    <m/>
    <m/>
    <s v="RAS"/>
  </r>
  <r>
    <d v="2025-02-17T00:00:00"/>
    <x v="2"/>
    <x v="0"/>
    <s v="Mohamed BENDAOUD"/>
    <x v="1"/>
    <x v="8"/>
    <m/>
    <m/>
    <s v="ZOUBAIR LAMRABAT"/>
    <n v="20"/>
    <m/>
    <m/>
    <m/>
    <s v="RAS"/>
  </r>
  <r>
    <d v="2025-02-18T00:00:00"/>
    <x v="2"/>
    <x v="0"/>
    <s v="Mohamed BENDAOUD"/>
    <x v="1"/>
    <x v="18"/>
    <m/>
    <m/>
    <s v="BEN DAOUD MOHAMED"/>
    <n v="40"/>
    <m/>
    <m/>
    <m/>
    <s v="RAS"/>
  </r>
  <r>
    <d v="2025-02-19T00:00:00"/>
    <x v="2"/>
    <x v="0"/>
    <s v="Mohamed BENDAOUD"/>
    <x v="1"/>
    <x v="27"/>
    <m/>
    <m/>
    <s v="ZOUBAIR LAMRABAT"/>
    <n v="300"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PivotTable28" cacheId="0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1" fieldListSortAscending="0" mdxSubqueries="0" applyNumberFormats="0" applyBorderFormats="0" applyFontFormats="0" applyPatternFormats="0" applyAlignmentFormats="0" applyWidthHeightFormats="1" r:id="rId1">
  <location ref="A13:B56" firstHeaderRow="1" firstDataRow="1" firstDataCol="1" rowPageCount="2" colPageCount="1"/>
  <pivotFields count="14">
    <pivotField showDropDowns="1" compact="1" outline="1" subtotalTop="1" dragToRow="1" dragToCol="1" dragToPage="1" dragToData="1" dragOff="1" showAll="0" topAutoShow="1" itemPageCount="10" sortType="manual" defaultSubtotal="1"/>
    <pivotField axis="axisPage" showDropDowns="1" compact="1" outline="1" subtotalTop="1" dragToRow="1" dragToCol="1" dragToPage="1" dragToData="1" dragOff="1" showAll="0" topAutoShow="1" itemPageCount="10" sortType="manual" defaultSubtotal="1">
      <items count="227">
        <item t="data" sd="1" m="1" x="4"/>
        <item t="data" sd="1" m="1" x="5"/>
        <item t="data" sd="1" m="1" x="6"/>
        <item t="data" sd="1" m="1" x="7"/>
        <item t="data" sd="1" m="1" x="8"/>
        <item t="data" sd="1" x="0"/>
        <item t="data" sd="1" x="1"/>
        <item t="data" sd="1" x="2"/>
        <item t="data" sd="1" m="1" x="9"/>
        <item t="data" sd="1" m="1" x="10"/>
        <item t="data" sd="1" m="1" x="11"/>
        <item t="data" sd="1" m="1" x="12"/>
        <item t="data" sd="1" m="1" x="13"/>
        <item t="data" sd="1" m="1" x="14"/>
        <item t="data" sd="1" m="1" x="15"/>
        <item t="data" sd="1" m="1" x="16"/>
        <item t="data" sd="1" m="1" x="17"/>
        <item t="data" sd="1" m="1" x="18"/>
        <item t="data" sd="1" m="1" x="19"/>
        <item t="data" sd="1" m="1" x="20"/>
        <item t="data" sd="1" m="1" x="21"/>
        <item t="data" sd="1" m="1" x="22"/>
        <item t="data" sd="1" m="1" x="23"/>
        <item t="data" sd="1" m="1" x="24"/>
        <item t="data" sd="1" m="1" x="25"/>
        <item t="data" sd="1" m="1" x="26"/>
        <item t="data" sd="1" m="1" x="27"/>
        <item t="data" sd="1" m="1" x="28"/>
        <item t="data" sd="1" m="1" x="29"/>
        <item t="data" sd="1" m="1" x="30"/>
        <item t="data" sd="1" m="1" x="31"/>
        <item t="data" sd="1" m="1" x="32"/>
        <item t="data" sd="1" m="1" x="33"/>
        <item t="data" sd="1" m="1" x="34"/>
        <item t="data" sd="1" m="1" x="35"/>
        <item t="data" sd="1" m="1" x="36"/>
        <item t="data" sd="1" m="1" x="37"/>
        <item t="data" sd="1" m="1" x="38"/>
        <item t="data" sd="1" m="1" x="39"/>
        <item t="data" sd="1" m="1" x="40"/>
        <item t="data" sd="1" m="1" x="41"/>
        <item t="data" sd="1" m="1" x="42"/>
        <item t="data" sd="1" m="1" x="43"/>
        <item t="data" sd="1" m="1" x="44"/>
        <item t="data" sd="1" m="1" x="45"/>
        <item t="data" sd="1" m="1" x="46"/>
        <item t="data" sd="1" m="1" x="47"/>
        <item t="data" sd="1" m="1" x="48"/>
        <item t="data" sd="1" m="1" x="49"/>
        <item t="data" sd="1" m="1" x="50"/>
        <item t="data" sd="1" m="1" x="51"/>
        <item t="data" sd="1" m="1" x="52"/>
        <item t="data" sd="1" m="1" x="53"/>
        <item t="data" sd="1" m="1" x="54"/>
        <item t="data" sd="1" m="1" x="55"/>
        <item t="data" sd="1" m="1" x="56"/>
        <item t="data" sd="1" m="1" x="57"/>
        <item t="data" sd="1" m="1" x="58"/>
        <item t="data" sd="1" m="1" x="59"/>
        <item t="data" sd="1" m="1" x="60"/>
        <item t="data" sd="1" m="1" x="61"/>
        <item t="data" sd="1" m="1" x="62"/>
        <item t="data" sd="1" m="1" x="63"/>
        <item t="data" sd="1" m="1" x="64"/>
        <item t="data" sd="1" m="1" x="65"/>
        <item t="data" sd="1" m="1" x="66"/>
        <item t="data" sd="1" m="1" x="67"/>
        <item t="data" sd="1" m="1" x="68"/>
        <item t="data" sd="1" m="1" x="69"/>
        <item t="data" sd="1" m="1" x="70"/>
        <item t="data" sd="1" m="1" x="71"/>
        <item t="data" sd="1" m="1" x="72"/>
        <item t="data" sd="1" m="1" x="73"/>
        <item t="data" sd="1" m="1" x="74"/>
        <item t="data" sd="1" m="1" x="75"/>
        <item t="data" sd="1" m="1" x="76"/>
        <item t="data" sd="1" m="1" x="77"/>
        <item t="data" sd="1" m="1" x="78"/>
        <item t="data" sd="1" m="1" x="79"/>
        <item t="data" sd="1" m="1" x="80"/>
        <item t="data" sd="1" m="1" x="81"/>
        <item t="data" sd="1" m="1" x="82"/>
        <item t="data" sd="1" m="1" x="83"/>
        <item t="data" sd="1" m="1" x="84"/>
        <item t="data" sd="1" m="1" x="85"/>
        <item t="data" sd="1" m="1" x="86"/>
        <item t="data" sd="1" m="1" x="87"/>
        <item t="data" sd="1" m="1" x="88"/>
        <item t="data" sd="1" m="1" x="89"/>
        <item t="data" sd="1" m="1" x="90"/>
        <item t="data" sd="1" m="1" x="91"/>
        <item t="data" sd="1" m="1" x="92"/>
        <item t="data" sd="1" m="1" x="93"/>
        <item t="data" sd="1" m="1" x="94"/>
        <item t="data" sd="1" m="1" x="95"/>
        <item t="data" sd="1" m="1" x="96"/>
        <item t="data" sd="1" m="1" x="97"/>
        <item t="data" sd="1" m="1" x="98"/>
        <item t="data" sd="1" m="1" x="99"/>
        <item t="data" sd="1" m="1" x="100"/>
        <item t="data" sd="1" m="1" x="101"/>
        <item t="data" sd="1" m="1" x="102"/>
        <item t="data" sd="1" m="1" x="103"/>
        <item t="data" sd="1" m="1" x="104"/>
        <item t="data" sd="1" m="1" x="105"/>
        <item t="data" sd="1" m="1" x="106"/>
        <item t="data" sd="1" m="1" x="107"/>
        <item t="data" sd="1" m="1" x="108"/>
        <item t="data" sd="1" m="1" x="109"/>
        <item t="data" sd="1" m="1" x="110"/>
        <item t="data" sd="1" m="1" x="111"/>
        <item t="data" sd="1" m="1" x="112"/>
        <item t="data" sd="1" m="1" x="113"/>
        <item t="data" sd="1" m="1" x="114"/>
        <item t="data" sd="1" m="1" x="115"/>
        <item t="data" sd="1" m="1" x="116"/>
        <item t="data" sd="1" m="1" x="117"/>
        <item t="data" sd="1" m="1" x="118"/>
        <item t="data" sd="1" m="1" x="119"/>
        <item t="data" sd="1" m="1" x="120"/>
        <item t="data" sd="1" m="1" x="121"/>
        <item t="data" sd="1" m="1" x="122"/>
        <item t="data" sd="1" m="1" x="123"/>
        <item t="data" sd="1" m="1" x="124"/>
        <item t="data" sd="1" m="1" x="125"/>
        <item t="data" sd="1" m="1" x="126"/>
        <item t="data" sd="1" m="1" x="127"/>
        <item t="data" sd="1" m="1" x="128"/>
        <item t="data" sd="1" m="1" x="129"/>
        <item t="data" sd="1" m="1" x="130"/>
        <item t="data" sd="1" m="1" x="131"/>
        <item t="data" sd="1" m="1" x="132"/>
        <item t="data" sd="1" m="1" x="133"/>
        <item t="data" sd="1" m="1" x="134"/>
        <item t="data" sd="1" m="1" x="135"/>
        <item t="data" sd="1" m="1" x="136"/>
        <item t="data" sd="1" m="1" x="137"/>
        <item t="data" sd="1" m="1" x="138"/>
        <item t="data" sd="1" m="1" x="139"/>
        <item t="data" sd="1" m="1" x="140"/>
        <item t="data" sd="1" m="1" x="141"/>
        <item t="data" sd="1" m="1" x="142"/>
        <item t="data" sd="1" m="1" x="143"/>
        <item t="data" sd="1" m="1" x="144"/>
        <item t="data" sd="1" m="1" x="145"/>
        <item t="data" sd="1" m="1" x="146"/>
        <item t="data" sd="1" m="1" x="147"/>
        <item t="data" sd="1" m="1" x="148"/>
        <item t="data" sd="1" m="1" x="149"/>
        <item t="data" sd="1" m="1" x="150"/>
        <item t="data" sd="1" m="1" x="151"/>
        <item t="data" sd="1" m="1" x="152"/>
        <item t="data" sd="1" m="1" x="153"/>
        <item t="data" sd="1" m="1" x="154"/>
        <item t="data" sd="1" m="1" x="155"/>
        <item t="data" sd="1" m="1" x="156"/>
        <item t="data" sd="1" m="1" x="157"/>
        <item t="data" sd="1" m="1" x="158"/>
        <item t="data" sd="1" m="1" x="159"/>
        <item t="data" sd="1" m="1" x="160"/>
        <item t="data" sd="1" m="1" x="161"/>
        <item t="data" sd="1" m="1" x="162"/>
        <item t="data" sd="1" m="1" x="163"/>
        <item t="data" sd="1" m="1" x="164"/>
        <item t="data" sd="1" m="1" x="165"/>
        <item t="data" sd="1" m="1" x="166"/>
        <item t="data" sd="1" m="1" x="167"/>
        <item t="data" sd="1" m="1" x="168"/>
        <item t="data" sd="1" m="1" x="169"/>
        <item t="data" sd="1" m="1" x="170"/>
        <item t="data" sd="1" m="1" x="171"/>
        <item t="data" sd="1" m="1" x="172"/>
        <item t="data" sd="1" m="1" x="173"/>
        <item t="data" sd="1" m="1" x="174"/>
        <item t="data" sd="1" m="1" x="175"/>
        <item t="data" sd="1" m="1" x="176"/>
        <item t="data" sd="1" m="1" x="177"/>
        <item t="data" sd="1" m="1" x="178"/>
        <item t="data" sd="1" m="1" x="179"/>
        <item t="data" sd="1" m="1" x="180"/>
        <item t="data" sd="1" m="1" x="181"/>
        <item t="data" sd="1" m="1" x="182"/>
        <item t="data" sd="1" m="1" x="183"/>
        <item t="data" sd="1" m="1" x="184"/>
        <item t="data" sd="1" m="1" x="185"/>
        <item t="data" sd="1" m="1" x="186"/>
        <item t="data" sd="1" m="1" x="187"/>
        <item t="data" sd="1" m="1" x="188"/>
        <item t="data" sd="1" m="1" x="189"/>
        <item t="data" sd="1" m="1" x="190"/>
        <item t="data" sd="1" m="1" x="191"/>
        <item t="data" sd="1" m="1" x="192"/>
        <item t="data" sd="1" m="1" x="193"/>
        <item t="data" sd="1" m="1" x="194"/>
        <item t="data" sd="1" m="1" x="195"/>
        <item t="data" sd="1" m="1" x="196"/>
        <item t="data" sd="1" m="1" x="197"/>
        <item t="data" sd="1" m="1" x="198"/>
        <item t="data" sd="1" m="1" x="199"/>
        <item t="data" sd="1" m="1" x="200"/>
        <item t="data" sd="1" m="1" x="201"/>
        <item t="data" sd="1" m="1" x="202"/>
        <item t="data" sd="1" m="1" x="203"/>
        <item t="data" sd="1" m="1" x="204"/>
        <item t="data" sd="1" m="1" x="205"/>
        <item t="data" sd="1" m="1" x="206"/>
        <item t="data" sd="1" m="1" x="207"/>
        <item t="data" sd="1" m="1" x="208"/>
        <item t="data" sd="1" m="1" x="209"/>
        <item t="data" sd="1" m="1" x="210"/>
        <item t="data" sd="1" m="1" x="211"/>
        <item t="data" sd="1" m="1" x="212"/>
        <item t="data" sd="1" m="1" x="213"/>
        <item t="data" sd="1" m="1" x="214"/>
        <item t="data" sd="1" m="1" x="215"/>
        <item t="data" sd="1" m="1" x="216"/>
        <item t="data" sd="1" m="1" x="217"/>
        <item t="data" sd="1" m="1" x="218"/>
        <item t="data" sd="1" m="1" x="219"/>
        <item t="data" sd="1" m="1" x="220"/>
        <item t="data" sd="1" m="1" x="221"/>
        <item t="data" sd="1" m="1" x="222"/>
        <item t="data" sd="1" m="1" x="223"/>
        <item t="data" sd="1" m="1" x="224"/>
        <item t="data" sd="1" m="1" x="225"/>
        <item t="data" sd="1" x="3"/>
        <item t="default" sd="1"/>
      </items>
    </pivotField>
    <pivotField axis="axisPage" showDropDowns="1" compact="1" outline="1" subtotalTop="1" dragToRow="1" dragToCol="1" dragToPage="1" dragToData="1" dragOff="1" showAll="0" topAutoShow="1" itemPageCount="10" sortType="manual" defaultSubtotal="1">
      <items count="6">
        <item t="data" sd="1" x="1"/>
        <item t="data" sd="1" x="0"/>
        <item t="data" sd="1" m="1" x="2"/>
        <item t="data" sd="1" m="1" x="3"/>
        <item t="data" sd="1" m="1" x="4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descending" defaultSubtotal="1">
      <items count="71">
        <item t="data" sd="1" x="34"/>
        <item t="data" sd="1" x="0"/>
        <item t="data" sd="1" m="1" x="47"/>
        <item t="data" sd="1" x="7"/>
        <item t="data" sd="1" x="9"/>
        <item t="data" sd="1" m="1" x="59"/>
        <item t="data" sd="1" x="36"/>
        <item t="data" sd="1" x="40"/>
        <item t="data" sd="1" m="1" x="55"/>
        <item t="data" sd="1" m="1" x="65"/>
        <item t="data" sd="1" x="11"/>
        <item t="data" sd="1" x="6"/>
        <item t="data" sd="1" x="24"/>
        <item t="data" sd="1" x="25"/>
        <item t="data" sd="1" x="23"/>
        <item t="data" sd="1" x="16"/>
        <item t="data" sd="1" m="1" x="57"/>
        <item t="data" sd="1" m="1" x="62"/>
        <item t="data" sd="1" x="13"/>
        <item t="data" sd="1" m="1" x="69"/>
        <item t="data" sd="1" m="1" x="58"/>
        <item t="data" sd="1" x="27"/>
        <item t="data" sd="1" m="1" x="46"/>
        <item t="data" sd="1" x="4"/>
        <item t="data" sd="1" x="3"/>
        <item t="data" sd="1" m="1" x="61"/>
        <item t="data" sd="1" m="1" x="43"/>
        <item t="data" sd="1" x="37"/>
        <item t="data" sd="1" x="41"/>
        <item t="data" sd="1" x="17"/>
        <item t="data" sd="1" m="1" x="64"/>
        <item t="data" sd="1" m="1" x="54"/>
        <item t="data" sd="1" x="10"/>
        <item t="data" sd="1" m="1" x="45"/>
        <item t="data" sd="1" m="1" x="63"/>
        <item t="data" sd="1" x="5"/>
        <item t="data" sd="1" m="1" x="48"/>
        <item t="data" sd="1" m="1" x="56"/>
        <item t="data" sd="1" m="1" x="60"/>
        <item t="data" sd="1" x="2"/>
        <item t="data" sd="1" m="1" x="53"/>
        <item t="data" sd="1" m="1" x="52"/>
        <item t="data" sd="1" m="1" x="66"/>
        <item t="data" sd="1" m="1" x="67"/>
        <item t="data" sd="1" m="1" x="68"/>
        <item t="data" sd="1" m="1" x="49"/>
        <item t="data" sd="1" m="1" x="50"/>
        <item t="data" sd="1" x="14"/>
        <item t="data" sd="1" m="1" x="51"/>
        <item t="data" sd="1" x="19"/>
        <item t="data" sd="1" x="15"/>
        <item t="data" sd="1" x="8"/>
        <item t="data" sd="1" x="31"/>
        <item t="data" sd="1" m="1" x="42"/>
        <item t="data" sd="1" m="1" x="44"/>
        <item t="data" sd="1" x="21"/>
        <item t="data" sd="1" x="26"/>
        <item t="data" sd="1" x="1"/>
        <item t="data" sd="1" x="12"/>
        <item t="data" sd="1" x="18"/>
        <item t="data" sd="1" x="20"/>
        <item t="data" sd="1" x="22"/>
        <item t="data" sd="1" x="28"/>
        <item t="data" sd="1" x="29"/>
        <item t="data" sd="1" x="30"/>
        <item t="data" sd="1" x="32"/>
        <item t="data" sd="1" x="33"/>
        <item t="data" sd="1" x="35"/>
        <item t="data" sd="1" x="38"/>
        <item t="data" sd="1" x="39"/>
        <item t="default" sd="1"/>
      </items>
      <autoSortScope>
        <pivotArea type="normal" dataOnly="0" outline="0" fieldPosition="0">
          <references count="1">
            <reference field="4294967294" selected="0">
              <x v="0"/>
            </reference>
          </references>
        </pivotArea>
      </autoSortScope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1">
    <field x="5"/>
  </rowFields>
  <rowItems count="43">
    <i t="data" r="0" i="0">
      <x v="3"/>
    </i>
    <i t="data" r="0" i="0">
      <x v="21"/>
    </i>
    <i t="data" r="0" i="0">
      <x v="59"/>
    </i>
    <i t="data" r="0" i="0">
      <x v="32"/>
    </i>
    <i t="data" r="0" i="0">
      <x v="35"/>
    </i>
    <i t="data" r="0" i="0">
      <x v="15"/>
    </i>
    <i t="data" r="0" i="0">
      <x v="57"/>
    </i>
    <i t="data" r="0" i="0">
      <x v="58"/>
    </i>
    <i t="data" r="0" i="0">
      <x v="29"/>
    </i>
    <i t="data" r="0" i="0">
      <x v="51"/>
    </i>
    <i t="data" r="0" i="0">
      <x v="67"/>
    </i>
    <i t="data" r="0" i="0">
      <x v="12"/>
    </i>
    <i t="data" r="0" i="0">
      <x v="47"/>
    </i>
    <i t="data" r="0" i="0">
      <x v="1"/>
    </i>
    <i t="data" r="0" i="0">
      <x v="10"/>
    </i>
    <i t="data" r="0" i="0">
      <x v="66"/>
    </i>
    <i t="data" r="0" i="0">
      <x v="55"/>
    </i>
    <i t="data" r="0" i="0">
      <x v="11"/>
    </i>
    <i t="data" r="0" i="0">
      <x v="0"/>
    </i>
    <i t="data" r="0" i="0">
      <x v="24"/>
    </i>
    <i t="data" r="0" i="0">
      <x v="49"/>
    </i>
    <i t="data" r="0" i="0">
      <x v="6"/>
    </i>
    <i t="data" r="0" i="0">
      <x v="14"/>
    </i>
    <i t="data" r="0" i="0">
      <x v="61"/>
    </i>
    <i t="data" r="0" i="0">
      <x v="56"/>
    </i>
    <i t="data" r="0" i="0">
      <x v="39"/>
    </i>
    <i t="data" r="0" i="0">
      <x v="64"/>
    </i>
    <i t="data" r="0" i="0">
      <x v="23"/>
    </i>
    <i t="data" r="0" i="0">
      <x v="68"/>
    </i>
    <i t="data" r="0" i="0">
      <x v="27"/>
    </i>
    <i t="data" r="0" i="0">
      <x v="50"/>
    </i>
    <i t="data" r="0" i="0">
      <x v="65"/>
    </i>
    <i t="data" r="0" i="0">
      <x v="4"/>
    </i>
    <i t="data" r="0" i="0">
      <x v="60"/>
    </i>
    <i t="data" r="0" i="0">
      <x v="18"/>
    </i>
    <i t="data" r="0" i="0">
      <x v="13"/>
    </i>
    <i t="data" r="0" i="0">
      <x v="62"/>
    </i>
    <i t="data" r="0" i="0">
      <x v="63"/>
    </i>
    <i t="data" r="0" i="0">
      <x v="69"/>
    </i>
    <i t="data" r="0" i="0">
      <x v="7"/>
    </i>
    <i t="data" r="0" i="0">
      <x v="28"/>
    </i>
    <i t="data" r="0" i="0">
      <x v="52"/>
    </i>
    <i t="grand" r="0" i="0">
      <x v="0"/>
    </i>
  </rowItems>
  <colItems count="1">
    <i t="data" r="0" i="0"/>
  </colItems>
  <pageFields count="2">
    <pageField fld="2" hier="-1"/>
    <pageField fld="1" hier="-1"/>
  </pageFields>
  <dataFields count="1">
    <dataField name="Sum of Durée de l'Arrêt_x000a_(min)" fld="9" subtotal="sum" showDataAs="normal" baseField="0" baseItem="0"/>
  </dataFields>
  <chartFormats count="1">
    <chartFormat chart="0" format="0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Table10" displayName="Table10" ref="A5:N232" headerRowCount="1" totalsRowShown="0" headerRowDxfId="38" dataDxfId="36" headerRowBorderDxfId="37" tableBorderDxfId="35">
  <autoFilter ref="A5:N232"/>
  <tableColumns count="14">
    <tableColumn id="1" name="Date " dataDxfId="34"/>
    <tableColumn id="2" name="Semaine" dataDxfId="33"/>
    <tableColumn id="3" name="Mois" dataDxfId="32"/>
    <tableColumn id="4" name="Shift" dataDxfId="31"/>
    <tableColumn id="5" name="PROJET" dataDxfId="30"/>
    <tableColumn id="6" name="Machine" dataDxfId="29"/>
    <tableColumn id="7" name="Outil _x000a_(Applicateur, Test, Tableau, Press manuelle)" dataDxfId="28"/>
    <tableColumn id="8" name="Type d'intervention" dataDxfId="27"/>
    <tableColumn id="9" name="Intervenant" dataDxfId="26"/>
    <tableColumn id="10" name="Durée de l'Arrêt_x000a_(min)" dataDxfId="25"/>
    <tableColumn id="11" name="Problème" dataDxfId="24"/>
    <tableColumn id="12" name="Détails de l'intervention" dataDxfId="23"/>
    <tableColumn id="13" name="Status Intervention" dataDxfId="22"/>
    <tableColumn id="14" name="Risque de Sécurité (après l'intervention Maintenance) " dataDxfId="2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3" displayName="Table3" ref="C13:C67" headerRowCount="1" totalsRowShown="0">
  <autoFilter ref="C13:C67"/>
  <tableColumns count="1">
    <tableColumn id="1" name="%" dataDxfId="20">
      <calculatedColumnFormula>B14/SUM($B$14:$B$66)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Intervenant" displayName="Intervenant" ref="A8:F23" headerRowCount="1" totalsRowShown="0" headerRowDxfId="19" dataDxfId="17" headerRowBorderDxfId="18" tableBorderDxfId="16">
  <autoFilter ref="A8:F23"/>
  <tableColumns count="6">
    <tableColumn id="1" name="Intervenant" dataDxfId="15"/>
    <tableColumn id="2" name="Status intervention" dataDxfId="14"/>
    <tableColumn id="3" name="type d'arrêt" dataDxfId="13"/>
    <tableColumn id="6" name="TYPE D'INTERVENTION" dataDxfId="12"/>
    <tableColumn id="4" name="Shift" dataDxfId="11"/>
    <tableColumn id="5" name="Projet" dataDxfId="10"/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id="4" name="Table1" displayName="Table1" ref="H8:U35" headerRowCount="1" totalsRowShown="0" headerRowDxfId="9" headerRowBorderDxfId="8" tableBorderDxfId="7">
  <autoFilter ref="H8:U35"/>
  <tableColumns count="14">
    <tableColumn id="1" name="Cable"/>
    <tableColumn id="2" name="BTB" dataDxfId="6"/>
    <tableColumn id="3" name="IDC"/>
    <tableColumn id="4" name="Maxibridge_Female"/>
    <tableColumn id="5" name="MCB_Female"/>
    <tableColumn id="6" name="MCB_Male"/>
    <tableColumn id="7" name="MCC_180_Female"/>
    <tableColumn id="8" name="MCC_180_Male"/>
    <tableColumn id="9" name="MCC_90_Female"/>
    <tableColumn id="10" name="MCC_90_Male"/>
    <tableColumn id="11" name="MCC_90_Male_Female"/>
    <tableColumn id="12" name="Power_Connector"/>
    <tableColumn id="13" name="RWB_Female"/>
    <tableColumn id="14" name="RWB Ma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table" Target="/xl/tables/table2.xml" Id="rId2"/><Relationship Type="http://schemas.openxmlformats.org/officeDocument/2006/relationships/pivotTable" Target="/xl/pivotTables/pivotTable1.xml" Id="rId3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2"/>
  <sheetViews>
    <sheetView showGridLines="0" tabSelected="1" zoomScaleNormal="100" zoomScaleSheetLayoutView="124" workbookViewId="0">
      <pane ySplit="5" topLeftCell="A6" activePane="bottomLeft" state="frozen"/>
      <selection pane="bottomLeft" activeCell="N7" sqref="N7"/>
    </sheetView>
  </sheetViews>
  <sheetFormatPr baseColWidth="8" defaultRowHeight="14.5"/>
  <cols>
    <col width="14.54296875" bestFit="1" customWidth="1" min="1" max="1"/>
    <col width="11.54296875" customWidth="1" min="2" max="2"/>
    <col width="8" bestFit="1" customWidth="1" min="3" max="3"/>
    <col width="22.1796875" customWidth="1" min="4" max="4"/>
    <col width="18.81640625" customWidth="1" style="37" min="5" max="5"/>
    <col width="26.1796875" customWidth="1" min="6" max="6"/>
    <col width="17" customWidth="1" style="38" min="7" max="7"/>
    <col width="18.54296875" customWidth="1" min="8" max="8"/>
    <col width="21.453125" customWidth="1" min="9" max="9"/>
    <col width="12.26953125" customWidth="1" min="10" max="10"/>
    <col width="34.54296875" customWidth="1" style="37" min="11" max="11"/>
    <col width="38.81640625" customWidth="1" style="37" min="12" max="12"/>
    <col width="13.7265625" customWidth="1" min="14" max="14"/>
  </cols>
  <sheetData>
    <row r="1" ht="21.5" customHeight="1" thickBot="1">
      <c r="A1" s="67" t="inlineStr">
        <is>
          <t>Industrial BU - Tangier - Morocco</t>
        </is>
      </c>
      <c r="B1" s="68" t="n"/>
      <c r="C1" s="69" t="n"/>
      <c r="D1" s="70" t="inlineStr">
        <is>
          <t>P02_VS1 - FOR136</t>
        </is>
      </c>
      <c r="E1" s="71" t="n"/>
      <c r="F1" s="71" t="n"/>
      <c r="G1" s="71" t="n"/>
      <c r="H1" s="71" t="n"/>
      <c r="I1" s="71" t="n"/>
      <c r="J1" s="71" t="n"/>
      <c r="K1" s="71" t="n"/>
      <c r="L1" s="72" t="n"/>
      <c r="M1" s="1" t="inlineStr">
        <is>
          <t>Rev</t>
        </is>
      </c>
      <c r="N1" s="2" t="n">
        <v>0</v>
      </c>
    </row>
    <row r="2" ht="24" customHeight="1" thickBot="1">
      <c r="A2" s="73" t="n"/>
      <c r="B2" s="74" t="n"/>
      <c r="C2" s="75" t="n"/>
      <c r="D2" s="76" t="inlineStr">
        <is>
          <t>Suivi de la Maintenance Corrective - THOR</t>
        </is>
      </c>
      <c r="E2" s="71" t="n"/>
      <c r="F2" s="71" t="n"/>
      <c r="G2" s="71" t="n"/>
      <c r="H2" s="71" t="n"/>
      <c r="I2" s="71" t="n"/>
      <c r="J2" s="71" t="n"/>
      <c r="K2" s="71" t="n"/>
      <c r="L2" s="72" t="n"/>
      <c r="M2" s="1" t="inlineStr">
        <is>
          <t>Date</t>
        </is>
      </c>
      <c r="N2" s="3" t="n">
        <v>45424</v>
      </c>
    </row>
    <row r="3" ht="7.5" customHeight="1"/>
    <row r="4" ht="22.5" customHeight="1" thickBot="1">
      <c r="A4" s="77" t="inlineStr">
        <is>
          <t>Enregistrement des données</t>
        </is>
      </c>
      <c r="B4" s="78" t="n"/>
      <c r="C4" s="78" t="n"/>
      <c r="D4" s="78" t="n"/>
      <c r="E4" s="78" t="n"/>
      <c r="F4" s="78" t="n"/>
      <c r="G4" s="78" t="n"/>
      <c r="H4" s="78" t="n"/>
      <c r="I4" s="78" t="n"/>
      <c r="J4" s="78" t="n"/>
      <c r="K4" s="78" t="n"/>
      <c r="L4" s="78" t="n"/>
      <c r="M4" s="78" t="n"/>
      <c r="N4" s="79" t="n"/>
    </row>
    <row r="5" ht="31.5" customHeight="1">
      <c r="A5" s="33" t="inlineStr">
        <is>
          <t xml:space="preserve">Date </t>
        </is>
      </c>
      <c r="B5" s="34" t="inlineStr">
        <is>
          <t>Semaine</t>
        </is>
      </c>
      <c r="C5" s="34" t="inlineStr">
        <is>
          <t>Mois</t>
        </is>
      </c>
      <c r="D5" s="35" t="inlineStr">
        <is>
          <t>Shift</t>
        </is>
      </c>
      <c r="E5" s="35" t="inlineStr">
        <is>
          <t>PROJET</t>
        </is>
      </c>
      <c r="F5" s="33" t="inlineStr">
        <is>
          <t>Machine</t>
        </is>
      </c>
      <c r="G5" s="35" t="inlineStr">
        <is>
          <t>Outil 
(Applicateur, Test, Tableau, Press manuelle)</t>
        </is>
      </c>
      <c r="H5" s="35" t="inlineStr">
        <is>
          <t>Type d'intervention</t>
        </is>
      </c>
      <c r="I5" s="36" t="inlineStr">
        <is>
          <t>Intervenant</t>
        </is>
      </c>
      <c r="J5" s="36" t="inlineStr">
        <is>
          <t>Durée de l'Arrêt
(min)</t>
        </is>
      </c>
      <c r="K5" s="33" t="inlineStr">
        <is>
          <t>Problème</t>
        </is>
      </c>
      <c r="L5" s="35" t="inlineStr">
        <is>
          <t>Détails de l'intervention</t>
        </is>
      </c>
      <c r="M5" s="35" t="inlineStr">
        <is>
          <t>Status Intervention</t>
        </is>
      </c>
      <c r="N5" s="33" t="inlineStr">
        <is>
          <t xml:space="preserve">Risque de Sécurité (après l'intervention Maintenance) </t>
        </is>
      </c>
    </row>
    <row r="6">
      <c r="A6" s="80" t="n">
        <v>46144</v>
      </c>
      <c r="B6" s="41" t="n"/>
      <c r="C6" s="41" t="n"/>
      <c r="D6" s="41" t="inlineStr">
        <is>
          <t>A</t>
        </is>
      </c>
      <c r="E6" s="41" t="n"/>
      <c r="F6" s="41" t="inlineStr">
        <is>
          <t>THOR-05</t>
        </is>
      </c>
      <c r="G6" s="41" t="n"/>
      <c r="H6" s="41" t="n"/>
      <c r="I6" s="41" t="n"/>
      <c r="J6" s="41" t="n"/>
      <c r="K6" s="41" t="n"/>
      <c r="L6" s="41" t="n"/>
      <c r="M6" s="41" t="inlineStr">
        <is>
          <t>Open</t>
        </is>
      </c>
      <c r="N6" s="41" t="n"/>
    </row>
    <row r="7" ht="27.5" customHeight="1">
      <c r="A7" s="80" t="n">
        <v>46107</v>
      </c>
      <c r="B7" s="41" t="n"/>
      <c r="C7" s="41" t="n"/>
      <c r="D7" s="41" t="inlineStr">
        <is>
          <t>A</t>
        </is>
      </c>
      <c r="E7" s="41" t="n"/>
      <c r="F7" s="41" t="inlineStr">
        <is>
          <t>SCHLEUNIGER C386</t>
        </is>
      </c>
      <c r="G7" s="41" t="n"/>
      <c r="H7" s="41" t="n"/>
      <c r="I7" s="41" t="n"/>
      <c r="J7" s="41" t="n"/>
      <c r="K7" s="41" t="n"/>
      <c r="L7" s="41" t="n"/>
      <c r="M7" s="41" t="inlineStr">
        <is>
          <t>Open</t>
        </is>
      </c>
      <c r="N7" s="41" t="n"/>
    </row>
    <row r="8" ht="27.5" customHeight="1">
      <c r="A8" s="80" t="n">
        <v>46065</v>
      </c>
      <c r="B8" s="41" t="n"/>
      <c r="C8" s="41" t="n"/>
      <c r="D8" s="41" t="inlineStr">
        <is>
          <t>A</t>
        </is>
      </c>
      <c r="E8" s="41" t="n"/>
      <c r="F8" s="41" t="inlineStr">
        <is>
          <t>KOMAX K355</t>
        </is>
      </c>
      <c r="G8" s="41" t="n"/>
      <c r="H8" s="41" t="n"/>
      <c r="I8" s="41" t="n"/>
      <c r="J8" s="41" t="n"/>
      <c r="K8" s="41" t="n"/>
      <c r="L8" s="41" t="n"/>
      <c r="M8" s="41" t="inlineStr">
        <is>
          <t>Open</t>
        </is>
      </c>
      <c r="N8" s="41" t="n"/>
    </row>
    <row r="9" ht="27.5" customHeight="1">
      <c r="A9" s="80" t="n">
        <v>46027</v>
      </c>
      <c r="B9" s="41" t="n"/>
      <c r="C9" s="41" t="n"/>
      <c r="D9" s="41" t="inlineStr">
        <is>
          <t>B</t>
        </is>
      </c>
      <c r="E9" s="41" t="n"/>
      <c r="F9" s="41" t="inlineStr">
        <is>
          <t>KOMAX K355</t>
        </is>
      </c>
      <c r="G9" s="41" t="n"/>
      <c r="H9" s="41" t="n"/>
      <c r="I9" s="41" t="n"/>
      <c r="J9" s="41" t="n"/>
      <c r="K9" s="41" t="n"/>
      <c r="L9" s="41" t="n"/>
      <c r="M9" s="41" t="inlineStr">
        <is>
          <t>Closed</t>
        </is>
      </c>
      <c r="N9" s="41" t="n"/>
    </row>
    <row r="10">
      <c r="A10" s="80" t="n">
        <v>46163</v>
      </c>
      <c r="B10" s="41" t="n"/>
      <c r="C10" s="41" t="n"/>
      <c r="D10" s="41" t="inlineStr">
        <is>
          <t>C</t>
        </is>
      </c>
      <c r="E10" s="41" t="n"/>
      <c r="F10" s="41" t="inlineStr">
        <is>
          <t>THOR-05</t>
        </is>
      </c>
      <c r="G10" s="41" t="n"/>
      <c r="H10" s="41" t="n"/>
      <c r="I10" s="41" t="n"/>
      <c r="J10" s="41" t="n"/>
      <c r="K10" s="41" t="n"/>
      <c r="L10" s="41" t="n"/>
      <c r="M10" s="41" t="inlineStr">
        <is>
          <t>In progress</t>
        </is>
      </c>
      <c r="N10" s="41" t="n"/>
    </row>
    <row r="11">
      <c r="A11" s="80" t="n">
        <v>46139</v>
      </c>
      <c r="B11" s="41" t="n"/>
      <c r="C11" s="41" t="n"/>
      <c r="D11" s="41" t="inlineStr">
        <is>
          <t>C</t>
        </is>
      </c>
      <c r="E11" s="41" t="n"/>
      <c r="F11" s="41" t="inlineStr">
        <is>
          <t>PRESS-12</t>
        </is>
      </c>
      <c r="G11" s="41" t="n"/>
      <c r="H11" s="41" t="n"/>
      <c r="I11" s="41" t="n"/>
      <c r="J11" s="41" t="n"/>
      <c r="K11" s="41" t="n"/>
      <c r="L11" s="41" t="n"/>
      <c r="M11" s="41" t="inlineStr">
        <is>
          <t>Closed</t>
        </is>
      </c>
      <c r="N11" s="41" t="n"/>
    </row>
    <row r="12">
      <c r="A12" s="80" t="n">
        <v>46143</v>
      </c>
      <c r="B12" s="41" t="n"/>
      <c r="C12" s="41" t="n"/>
      <c r="D12" s="41" t="inlineStr">
        <is>
          <t>C</t>
        </is>
      </c>
      <c r="E12" s="41" t="n"/>
      <c r="F12" s="41" t="inlineStr">
        <is>
          <t>KOMAX K355</t>
        </is>
      </c>
      <c r="G12" s="41" t="n"/>
      <c r="H12" s="41" t="n"/>
      <c r="I12" s="41" t="n"/>
      <c r="J12" s="41" t="n"/>
      <c r="K12" s="41" t="n"/>
      <c r="L12" s="41" t="n"/>
      <c r="M12" s="41" t="inlineStr">
        <is>
          <t>In progress</t>
        </is>
      </c>
      <c r="N12" s="41" t="n"/>
    </row>
    <row r="13">
      <c r="A13" s="80" t="n">
        <v>46064</v>
      </c>
      <c r="B13" s="41" t="n"/>
      <c r="C13" s="41" t="n"/>
      <c r="D13" s="41" t="inlineStr">
        <is>
          <t>C</t>
        </is>
      </c>
      <c r="E13" s="41" t="n"/>
      <c r="F13" s="41" t="inlineStr">
        <is>
          <t>KOMAX K355</t>
        </is>
      </c>
      <c r="G13" s="41" t="n"/>
      <c r="H13" s="41" t="n"/>
      <c r="I13" s="41" t="n"/>
      <c r="J13" s="41" t="n"/>
      <c r="K13" s="41" t="n"/>
      <c r="L13" s="41" t="n"/>
      <c r="M13" s="41" t="inlineStr">
        <is>
          <t>In progress</t>
        </is>
      </c>
      <c r="N13" s="41" t="n"/>
    </row>
    <row r="14">
      <c r="A14" s="80" t="n">
        <v>46110</v>
      </c>
      <c r="B14" s="41" t="n"/>
      <c r="C14" s="41" t="n"/>
      <c r="D14" s="41" t="inlineStr">
        <is>
          <t>B</t>
        </is>
      </c>
      <c r="E14" s="41" t="n"/>
      <c r="F14" s="41" t="inlineStr">
        <is>
          <t>CRIMP CENTER 02</t>
        </is>
      </c>
      <c r="G14" s="41" t="n"/>
      <c r="H14" s="41" t="n"/>
      <c r="I14" s="41" t="n"/>
      <c r="J14" s="41" t="n"/>
      <c r="K14" s="41" t="n"/>
      <c r="L14" s="41" t="n"/>
      <c r="M14" s="41" t="inlineStr">
        <is>
          <t>Closed</t>
        </is>
      </c>
      <c r="N14" s="41" t="n"/>
    </row>
    <row r="15">
      <c r="A15" s="80" t="n">
        <v>46141</v>
      </c>
      <c r="B15" s="41" t="n"/>
      <c r="C15" s="41" t="n"/>
      <c r="D15" s="41" t="inlineStr">
        <is>
          <t>C</t>
        </is>
      </c>
      <c r="E15" s="41" t="n"/>
      <c r="F15" s="41" t="inlineStr">
        <is>
          <t>THOR-05</t>
        </is>
      </c>
      <c r="G15" s="41" t="n"/>
      <c r="H15" s="41" t="n"/>
      <c r="I15" s="41" t="n"/>
      <c r="J15" s="41" t="n"/>
      <c r="K15" s="41" t="n"/>
      <c r="L15" s="41" t="n"/>
      <c r="M15" s="41" t="inlineStr">
        <is>
          <t>Open</t>
        </is>
      </c>
      <c r="N15" s="41" t="n"/>
    </row>
    <row r="16">
      <c r="A16" s="80" t="n">
        <v>46086</v>
      </c>
      <c r="B16" s="41" t="n"/>
      <c r="C16" s="41" t="n"/>
      <c r="D16" s="41" t="inlineStr">
        <is>
          <t>C</t>
        </is>
      </c>
      <c r="E16" s="41" t="n"/>
      <c r="F16" s="41" t="inlineStr">
        <is>
          <t>CRIMP CENTER 02</t>
        </is>
      </c>
      <c r="G16" s="41" t="n"/>
      <c r="H16" s="41" t="n"/>
      <c r="I16" s="41" t="n"/>
      <c r="J16" s="41" t="n"/>
      <c r="K16" s="41" t="n"/>
      <c r="L16" s="41" t="n"/>
      <c r="M16" s="41" t="inlineStr">
        <is>
          <t>Closed</t>
        </is>
      </c>
      <c r="N16" s="41" t="n"/>
    </row>
    <row r="17">
      <c r="A17" s="80" t="n">
        <v>46144</v>
      </c>
      <c r="B17" s="41" t="n"/>
      <c r="C17" s="41" t="n"/>
      <c r="D17" s="41" t="inlineStr">
        <is>
          <t>C</t>
        </is>
      </c>
      <c r="E17" s="41" t="n"/>
      <c r="F17" s="41" t="inlineStr">
        <is>
          <t>SCHLEUNIGER C386</t>
        </is>
      </c>
      <c r="G17" s="41" t="n"/>
      <c r="H17" s="41" t="n"/>
      <c r="I17" s="41" t="n"/>
      <c r="J17" s="41" t="n"/>
      <c r="K17" s="41" t="n"/>
      <c r="L17" s="41" t="n"/>
      <c r="M17" s="41" t="inlineStr">
        <is>
          <t>Closed</t>
        </is>
      </c>
      <c r="N17" s="41" t="n"/>
    </row>
    <row r="18">
      <c r="A18" s="80" t="n">
        <v>46096</v>
      </c>
      <c r="B18" s="41" t="n"/>
      <c r="C18" s="41" t="n"/>
      <c r="D18" s="41" t="inlineStr">
        <is>
          <t>A</t>
        </is>
      </c>
      <c r="E18" s="41" t="n"/>
      <c r="F18" s="41" t="inlineStr">
        <is>
          <t>KOMAX K355</t>
        </is>
      </c>
      <c r="G18" s="41" t="n"/>
      <c r="H18" s="41" t="n"/>
      <c r="I18" s="41" t="n"/>
      <c r="J18" s="41" t="n"/>
      <c r="K18" s="41" t="n"/>
      <c r="L18" s="41" t="n"/>
      <c r="M18" s="41" t="inlineStr">
        <is>
          <t>Open</t>
        </is>
      </c>
      <c r="N18" s="41" t="n"/>
    </row>
    <row r="19">
      <c r="A19" s="80" t="n">
        <v>46044</v>
      </c>
      <c r="B19" s="41" t="n"/>
      <c r="C19" s="41" t="n"/>
      <c r="D19" s="41" t="inlineStr">
        <is>
          <t>A</t>
        </is>
      </c>
      <c r="E19" s="41" t="n"/>
      <c r="F19" s="41" t="inlineStr">
        <is>
          <t>PRESS-12</t>
        </is>
      </c>
      <c r="G19" s="41" t="n"/>
      <c r="H19" s="41" t="n"/>
      <c r="I19" s="41" t="n"/>
      <c r="J19" s="41" t="n"/>
      <c r="K19" s="41" t="n"/>
      <c r="L19" s="41" t="n"/>
      <c r="M19" s="41" t="inlineStr">
        <is>
          <t>Open</t>
        </is>
      </c>
      <c r="N19" s="41" t="n"/>
    </row>
    <row r="20">
      <c r="A20" s="80" t="n">
        <v>46150</v>
      </c>
      <c r="B20" s="41" t="n"/>
      <c r="C20" s="41" t="n"/>
      <c r="D20" s="41" t="inlineStr">
        <is>
          <t>A</t>
        </is>
      </c>
      <c r="E20" s="41" t="n"/>
      <c r="F20" s="41" t="inlineStr">
        <is>
          <t>PRESS-12</t>
        </is>
      </c>
      <c r="G20" s="41" t="n"/>
      <c r="H20" s="41" t="n"/>
      <c r="I20" s="41" t="n"/>
      <c r="J20" s="41" t="n"/>
      <c r="K20" s="41" t="n"/>
      <c r="L20" s="41" t="n"/>
      <c r="M20" s="41" t="inlineStr">
        <is>
          <t>Closed</t>
        </is>
      </c>
      <c r="N20" s="41" t="n"/>
    </row>
    <row r="21">
      <c r="A21" s="80" t="n">
        <v>46100</v>
      </c>
      <c r="B21" s="41" t="n"/>
      <c r="C21" s="41" t="n"/>
      <c r="D21" s="41" t="inlineStr">
        <is>
          <t>C</t>
        </is>
      </c>
      <c r="E21" s="41" t="n"/>
      <c r="F21" s="41" t="inlineStr">
        <is>
          <t>THOR-05</t>
        </is>
      </c>
      <c r="G21" s="41" t="n"/>
      <c r="H21" s="41" t="n"/>
      <c r="I21" s="41" t="n"/>
      <c r="J21" s="41" t="n"/>
      <c r="K21" s="41" t="n"/>
      <c r="L21" s="41" t="n"/>
      <c r="M21" s="41" t="inlineStr">
        <is>
          <t>In progress</t>
        </is>
      </c>
      <c r="N21" s="41" t="n"/>
    </row>
    <row r="22">
      <c r="A22" s="80" t="n">
        <v>46067</v>
      </c>
      <c r="B22" s="41" t="n"/>
      <c r="C22" s="41" t="n"/>
      <c r="D22" s="41" t="inlineStr">
        <is>
          <t>A</t>
        </is>
      </c>
      <c r="E22" s="41" t="n"/>
      <c r="F22" s="41" t="inlineStr">
        <is>
          <t>THOR-05</t>
        </is>
      </c>
      <c r="G22" s="41" t="n"/>
      <c r="H22" s="41" t="n"/>
      <c r="I22" s="41" t="n"/>
      <c r="J22" s="41" t="n"/>
      <c r="K22" s="41" t="n"/>
      <c r="L22" s="41" t="n"/>
      <c r="M22" s="41" t="inlineStr">
        <is>
          <t>Open</t>
        </is>
      </c>
      <c r="N22" s="41" t="n"/>
    </row>
    <row r="23">
      <c r="A23" s="80" t="n">
        <v>46129</v>
      </c>
      <c r="B23" s="41" t="n"/>
      <c r="C23" s="41" t="n"/>
      <c r="D23" s="41" t="inlineStr">
        <is>
          <t>C</t>
        </is>
      </c>
      <c r="E23" s="41" t="n"/>
      <c r="F23" s="41" t="inlineStr">
        <is>
          <t>THOR-05</t>
        </is>
      </c>
      <c r="G23" s="41" t="n"/>
      <c r="H23" s="41" t="n"/>
      <c r="I23" s="41" t="n"/>
      <c r="J23" s="41" t="n"/>
      <c r="K23" s="41" t="n"/>
      <c r="L23" s="41" t="n"/>
      <c r="M23" s="41" t="inlineStr">
        <is>
          <t>In progress</t>
        </is>
      </c>
      <c r="N23" s="41" t="n"/>
    </row>
    <row r="24">
      <c r="A24" s="80" t="n">
        <v>46077</v>
      </c>
      <c r="B24" s="41" t="n"/>
      <c r="C24" s="41" t="n"/>
      <c r="D24" s="41" t="inlineStr">
        <is>
          <t>C</t>
        </is>
      </c>
      <c r="E24" s="41" t="n"/>
      <c r="F24" s="41" t="inlineStr">
        <is>
          <t>PRESS-12</t>
        </is>
      </c>
      <c r="G24" s="41" t="n"/>
      <c r="H24" s="41" t="n"/>
      <c r="I24" s="41" t="n"/>
      <c r="J24" s="41" t="n"/>
      <c r="K24" s="41" t="n"/>
      <c r="L24" s="41" t="n"/>
      <c r="M24" s="41" t="inlineStr">
        <is>
          <t>Closed</t>
        </is>
      </c>
      <c r="N24" s="41" t="n"/>
    </row>
    <row r="25">
      <c r="A25" s="80" t="n">
        <v>46140</v>
      </c>
      <c r="B25" s="41" t="n"/>
      <c r="C25" s="41" t="n"/>
      <c r="D25" s="41" t="inlineStr">
        <is>
          <t>C</t>
        </is>
      </c>
      <c r="E25" s="41" t="n"/>
      <c r="F25" s="41" t="inlineStr">
        <is>
          <t>KOMAX K355</t>
        </is>
      </c>
      <c r="G25" s="41" t="n"/>
      <c r="H25" s="41" t="n"/>
      <c r="I25" s="41" t="n"/>
      <c r="J25" s="41" t="n"/>
      <c r="K25" s="41" t="n"/>
      <c r="L25" s="41" t="n"/>
      <c r="M25" s="41" t="inlineStr">
        <is>
          <t>Closed</t>
        </is>
      </c>
      <c r="N25" s="41" t="n"/>
    </row>
    <row r="26">
      <c r="A26" s="80" t="n">
        <v>46077</v>
      </c>
      <c r="B26" s="41" t="n"/>
      <c r="C26" s="41" t="n"/>
      <c r="D26" s="41" t="inlineStr">
        <is>
          <t>C</t>
        </is>
      </c>
      <c r="E26" s="41" t="n"/>
      <c r="F26" s="41" t="inlineStr">
        <is>
          <t>PRESS-12</t>
        </is>
      </c>
      <c r="G26" s="41" t="n"/>
      <c r="H26" s="41" t="n"/>
      <c r="I26" s="41" t="n"/>
      <c r="J26" s="41" t="n"/>
      <c r="K26" s="41" t="n"/>
      <c r="L26" s="41" t="n"/>
      <c r="M26" s="41" t="inlineStr">
        <is>
          <t>Open</t>
        </is>
      </c>
      <c r="N26" s="41" t="n"/>
    </row>
    <row r="27">
      <c r="A27" s="80" t="n">
        <v>46073</v>
      </c>
      <c r="B27" s="41" t="n"/>
      <c r="C27" s="41" t="n"/>
      <c r="D27" s="41" t="inlineStr">
        <is>
          <t>B</t>
        </is>
      </c>
      <c r="E27" s="41" t="n"/>
      <c r="F27" s="41" t="inlineStr">
        <is>
          <t>SCHLEUNIGER C386</t>
        </is>
      </c>
      <c r="G27" s="41" t="n"/>
      <c r="H27" s="41" t="n"/>
      <c r="I27" s="41" t="n"/>
      <c r="J27" s="41" t="n"/>
      <c r="K27" s="41" t="n"/>
      <c r="L27" s="41" t="n"/>
      <c r="M27" s="41" t="inlineStr">
        <is>
          <t>Closed</t>
        </is>
      </c>
      <c r="N27" s="41" t="n"/>
    </row>
    <row r="28">
      <c r="A28" s="80" t="n">
        <v>46059</v>
      </c>
      <c r="B28" s="41" t="n"/>
      <c r="C28" s="41" t="n"/>
      <c r="D28" s="41" t="inlineStr">
        <is>
          <t>C</t>
        </is>
      </c>
      <c r="E28" s="41" t="n"/>
      <c r="F28" s="41" t="inlineStr">
        <is>
          <t>PRESS-12</t>
        </is>
      </c>
      <c r="G28" s="41" t="n"/>
      <c r="H28" s="41" t="n"/>
      <c r="I28" s="41" t="n"/>
      <c r="J28" s="41" t="n"/>
      <c r="K28" s="41" t="n"/>
      <c r="L28" s="41" t="n"/>
      <c r="M28" s="41" t="inlineStr">
        <is>
          <t>In progress</t>
        </is>
      </c>
      <c r="N28" s="41" t="n"/>
    </row>
    <row r="29">
      <c r="A29" s="80" t="n">
        <v>46071</v>
      </c>
      <c r="B29" s="41" t="n"/>
      <c r="C29" s="41" t="n"/>
      <c r="D29" s="41" t="inlineStr">
        <is>
          <t>C</t>
        </is>
      </c>
      <c r="E29" s="41" t="n"/>
      <c r="F29" s="41" t="inlineStr">
        <is>
          <t>PRESS-12</t>
        </is>
      </c>
      <c r="G29" s="41" t="n"/>
      <c r="H29" s="41" t="n"/>
      <c r="I29" s="41" t="n"/>
      <c r="J29" s="41" t="n"/>
      <c r="K29" s="41" t="n"/>
      <c r="L29" s="41" t="n"/>
      <c r="M29" s="41" t="inlineStr">
        <is>
          <t>Open</t>
        </is>
      </c>
      <c r="N29" s="41" t="n"/>
    </row>
    <row r="30">
      <c r="A30" s="80" t="n">
        <v>46203</v>
      </c>
      <c r="B30" s="41" t="n"/>
      <c r="C30" s="41" t="n"/>
      <c r="D30" s="41" t="inlineStr">
        <is>
          <t>C</t>
        </is>
      </c>
      <c r="E30" s="41" t="n"/>
      <c r="F30" s="41" t="inlineStr">
        <is>
          <t>KOMAX K355</t>
        </is>
      </c>
      <c r="G30" s="41" t="n"/>
      <c r="H30" s="41" t="n"/>
      <c r="I30" s="41" t="n"/>
      <c r="J30" s="41" t="n"/>
      <c r="K30" s="41" t="n"/>
      <c r="L30" s="41" t="n"/>
      <c r="M30" s="41" t="inlineStr">
        <is>
          <t>Open</t>
        </is>
      </c>
      <c r="N30" s="41" t="n"/>
    </row>
    <row r="31">
      <c r="A31" s="80" t="n">
        <v>46155</v>
      </c>
      <c r="B31" s="41" t="n"/>
      <c r="C31" s="41" t="n"/>
      <c r="D31" s="41" t="inlineStr">
        <is>
          <t>C</t>
        </is>
      </c>
      <c r="E31" s="41" t="n"/>
      <c r="F31" s="41" t="inlineStr">
        <is>
          <t>THOR-05</t>
        </is>
      </c>
      <c r="G31" s="41" t="n"/>
      <c r="H31" s="41" t="n"/>
      <c r="I31" s="41" t="n"/>
      <c r="J31" s="41" t="n"/>
      <c r="K31" s="41" t="n"/>
      <c r="L31" s="41" t="n"/>
      <c r="M31" s="41" t="inlineStr">
        <is>
          <t>Open</t>
        </is>
      </c>
      <c r="N31" s="41" t="n"/>
    </row>
    <row r="32">
      <c r="A32" s="80" t="n">
        <v>46055</v>
      </c>
      <c r="B32" s="41" t="n"/>
      <c r="C32" s="41" t="n"/>
      <c r="D32" s="41" t="inlineStr">
        <is>
          <t>B</t>
        </is>
      </c>
      <c r="E32" s="41" t="n"/>
      <c r="F32" s="41" t="inlineStr">
        <is>
          <t>PRESS-12</t>
        </is>
      </c>
      <c r="G32" s="41" t="n"/>
      <c r="H32" s="41" t="n"/>
      <c r="I32" s="41" t="n"/>
      <c r="J32" s="41" t="n"/>
      <c r="K32" s="41" t="n"/>
      <c r="L32" s="41" t="n"/>
      <c r="M32" s="41" t="inlineStr">
        <is>
          <t>Open</t>
        </is>
      </c>
      <c r="N32" s="41" t="n"/>
    </row>
    <row r="33">
      <c r="A33" s="80" t="n">
        <v>46167</v>
      </c>
      <c r="B33" s="41" t="n"/>
      <c r="C33" s="41" t="n"/>
      <c r="D33" s="41" t="inlineStr">
        <is>
          <t>C</t>
        </is>
      </c>
      <c r="E33" s="41" t="n"/>
      <c r="F33" s="41" t="inlineStr">
        <is>
          <t>PRESS-12</t>
        </is>
      </c>
      <c r="G33" s="41" t="n"/>
      <c r="H33" s="41" t="n"/>
      <c r="I33" s="41" t="n"/>
      <c r="J33" s="41" t="n"/>
      <c r="K33" s="41" t="n"/>
      <c r="L33" s="41" t="n"/>
      <c r="M33" s="41" t="inlineStr">
        <is>
          <t>In progress</t>
        </is>
      </c>
      <c r="N33" s="41" t="n"/>
    </row>
    <row r="34">
      <c r="A34" s="80" t="n">
        <v>46177</v>
      </c>
      <c r="B34" s="41" t="n"/>
      <c r="C34" s="41" t="n"/>
      <c r="D34" s="41" t="inlineStr">
        <is>
          <t>B</t>
        </is>
      </c>
      <c r="E34" s="41" t="n"/>
      <c r="F34" s="41" t="inlineStr">
        <is>
          <t>SCHLEUNIGER C386</t>
        </is>
      </c>
      <c r="G34" s="41" t="n"/>
      <c r="H34" s="41" t="n"/>
      <c r="I34" s="41" t="n"/>
      <c r="J34" s="41" t="n"/>
      <c r="K34" s="41" t="n"/>
      <c r="L34" s="41" t="n"/>
      <c r="M34" s="41" t="inlineStr">
        <is>
          <t>Closed</t>
        </is>
      </c>
      <c r="N34" s="41" t="n"/>
    </row>
    <row r="35">
      <c r="A35" s="80" t="n">
        <v>46149</v>
      </c>
      <c r="B35" s="41" t="n"/>
      <c r="C35" s="41" t="n"/>
      <c r="D35" s="41" t="inlineStr">
        <is>
          <t>A</t>
        </is>
      </c>
      <c r="E35" s="41" t="n"/>
      <c r="F35" s="41" t="inlineStr">
        <is>
          <t>KOMAX K355</t>
        </is>
      </c>
      <c r="G35" s="41" t="n"/>
      <c r="H35" s="41" t="n"/>
      <c r="I35" s="41" t="n"/>
      <c r="J35" s="41" t="n"/>
      <c r="K35" s="41" t="n"/>
      <c r="L35" s="41" t="n"/>
      <c r="M35" s="41" t="inlineStr">
        <is>
          <t>Closed</t>
        </is>
      </c>
      <c r="N35" s="41" t="n"/>
    </row>
    <row r="36">
      <c r="A36" s="80" t="n">
        <v>46039</v>
      </c>
      <c r="B36" s="41" t="n"/>
      <c r="C36" s="41" t="n"/>
      <c r="D36" s="41" t="inlineStr">
        <is>
          <t>C</t>
        </is>
      </c>
      <c r="E36" s="41" t="n"/>
      <c r="F36" s="41" t="inlineStr">
        <is>
          <t>THOR-05</t>
        </is>
      </c>
      <c r="G36" s="41" t="n"/>
      <c r="H36" s="41" t="n"/>
      <c r="I36" s="41" t="n"/>
      <c r="J36" s="41" t="n"/>
      <c r="K36" s="41" t="n"/>
      <c r="L36" s="41" t="n"/>
      <c r="M36" s="41" t="inlineStr">
        <is>
          <t>In progress</t>
        </is>
      </c>
      <c r="N36" s="41" t="n"/>
    </row>
    <row r="37">
      <c r="A37" s="80" t="n">
        <v>46030</v>
      </c>
      <c r="B37" s="41" t="n"/>
      <c r="C37" s="41" t="n"/>
      <c r="D37" s="41" t="inlineStr">
        <is>
          <t>B</t>
        </is>
      </c>
      <c r="E37" s="41" t="n"/>
      <c r="F37" s="41" t="inlineStr">
        <is>
          <t>CRIMP CENTER 02</t>
        </is>
      </c>
      <c r="G37" s="41" t="n"/>
      <c r="H37" s="41" t="n"/>
      <c r="I37" s="41" t="n"/>
      <c r="J37" s="41" t="n"/>
      <c r="K37" s="41" t="n"/>
      <c r="L37" s="41" t="n"/>
      <c r="M37" s="41" t="inlineStr">
        <is>
          <t>Closed</t>
        </is>
      </c>
      <c r="N37" s="41" t="n"/>
    </row>
    <row r="38">
      <c r="A38" s="80" t="n">
        <v>46143</v>
      </c>
      <c r="B38" s="41" t="n"/>
      <c r="C38" s="41" t="n"/>
      <c r="D38" s="41" t="inlineStr">
        <is>
          <t>B</t>
        </is>
      </c>
      <c r="E38" s="41" t="n"/>
      <c r="F38" s="41" t="inlineStr">
        <is>
          <t>PRESS-12</t>
        </is>
      </c>
      <c r="G38" s="41" t="n"/>
      <c r="H38" s="41" t="n"/>
      <c r="I38" s="41" t="n"/>
      <c r="J38" s="41" t="n"/>
      <c r="K38" s="41" t="n"/>
      <c r="L38" s="41" t="n"/>
      <c r="M38" s="41" t="inlineStr">
        <is>
          <t>In progress</t>
        </is>
      </c>
      <c r="N38" s="41" t="n"/>
    </row>
    <row r="39">
      <c r="A39" s="80" t="n">
        <v>46104</v>
      </c>
      <c r="B39" s="41" t="n"/>
      <c r="C39" s="41" t="n"/>
      <c r="D39" s="41" t="inlineStr">
        <is>
          <t>C</t>
        </is>
      </c>
      <c r="E39" s="41" t="n"/>
      <c r="F39" s="41" t="inlineStr">
        <is>
          <t>PRESS-12</t>
        </is>
      </c>
      <c r="G39" s="41" t="n"/>
      <c r="H39" s="41" t="n"/>
      <c r="I39" s="41" t="n"/>
      <c r="J39" s="41" t="n"/>
      <c r="K39" s="41" t="n"/>
      <c r="L39" s="41" t="n"/>
      <c r="M39" s="41" t="inlineStr">
        <is>
          <t>Closed</t>
        </is>
      </c>
      <c r="N39" s="41" t="n"/>
    </row>
    <row r="40">
      <c r="A40" s="80" t="n">
        <v>46024</v>
      </c>
      <c r="B40" s="41" t="n"/>
      <c r="C40" s="41" t="n"/>
      <c r="D40" s="41" t="inlineStr">
        <is>
          <t>A</t>
        </is>
      </c>
      <c r="E40" s="41" t="n"/>
      <c r="F40" s="41" t="inlineStr">
        <is>
          <t>SCHLEUNIGER C386</t>
        </is>
      </c>
      <c r="G40" s="41" t="n"/>
      <c r="H40" s="41" t="n"/>
      <c r="I40" s="41" t="n"/>
      <c r="J40" s="41" t="n"/>
      <c r="K40" s="41" t="n"/>
      <c r="L40" s="41" t="n"/>
      <c r="M40" s="41" t="inlineStr">
        <is>
          <t>Closed</t>
        </is>
      </c>
      <c r="N40" s="41" t="n"/>
    </row>
    <row r="41">
      <c r="A41" s="80" t="n">
        <v>46197</v>
      </c>
      <c r="B41" s="41" t="n"/>
      <c r="C41" s="41" t="n"/>
      <c r="D41" s="41" t="inlineStr">
        <is>
          <t>C</t>
        </is>
      </c>
      <c r="E41" s="41" t="n"/>
      <c r="F41" s="41" t="inlineStr">
        <is>
          <t>PRESS-12</t>
        </is>
      </c>
      <c r="G41" s="41" t="n"/>
      <c r="H41" s="41" t="n"/>
      <c r="I41" s="41" t="n"/>
      <c r="J41" s="41" t="n"/>
      <c r="K41" s="41" t="n"/>
      <c r="L41" s="41" t="n"/>
      <c r="M41" s="41" t="inlineStr">
        <is>
          <t>Open</t>
        </is>
      </c>
      <c r="N41" s="41" t="n"/>
    </row>
    <row r="42">
      <c r="A42" s="80" t="n">
        <v>46128</v>
      </c>
      <c r="B42" s="41" t="n"/>
      <c r="C42" s="41" t="n"/>
      <c r="D42" s="41" t="inlineStr">
        <is>
          <t>C</t>
        </is>
      </c>
      <c r="E42" s="41" t="n"/>
      <c r="F42" s="41" t="inlineStr">
        <is>
          <t>CRIMP CENTER 02</t>
        </is>
      </c>
      <c r="G42" s="41" t="n"/>
      <c r="H42" s="41" t="n"/>
      <c r="I42" s="41" t="n"/>
      <c r="J42" s="41" t="n"/>
      <c r="K42" s="41" t="n"/>
      <c r="L42" s="41" t="n"/>
      <c r="M42" s="41" t="inlineStr">
        <is>
          <t>Closed</t>
        </is>
      </c>
      <c r="N42" s="41" t="n"/>
    </row>
    <row r="43">
      <c r="A43" s="80" t="n">
        <v>46076</v>
      </c>
      <c r="B43" s="41" t="n"/>
      <c r="C43" s="41" t="n"/>
      <c r="D43" s="41" t="inlineStr">
        <is>
          <t>A</t>
        </is>
      </c>
      <c r="E43" s="41" t="n"/>
      <c r="F43" s="41" t="inlineStr">
        <is>
          <t>PRESS-12</t>
        </is>
      </c>
      <c r="G43" s="41" t="n"/>
      <c r="H43" s="41" t="n"/>
      <c r="I43" s="41" t="n"/>
      <c r="J43" s="41" t="n"/>
      <c r="K43" s="41" t="n"/>
      <c r="L43" s="41" t="n"/>
      <c r="M43" s="41" t="inlineStr">
        <is>
          <t>In progress</t>
        </is>
      </c>
      <c r="N43" s="41" t="n"/>
    </row>
    <row r="44">
      <c r="A44" s="80" t="n">
        <v>46152</v>
      </c>
      <c r="B44" s="41" t="n"/>
      <c r="C44" s="41" t="n"/>
      <c r="D44" s="41" t="inlineStr">
        <is>
          <t>C</t>
        </is>
      </c>
      <c r="E44" s="41" t="n"/>
      <c r="F44" s="41" t="inlineStr">
        <is>
          <t>THOR-05</t>
        </is>
      </c>
      <c r="G44" s="41" t="n"/>
      <c r="H44" s="41" t="n"/>
      <c r="I44" s="41" t="n"/>
      <c r="J44" s="41" t="n"/>
      <c r="K44" s="41" t="n"/>
      <c r="L44" s="41" t="n"/>
      <c r="M44" s="41" t="inlineStr">
        <is>
          <t>In progress</t>
        </is>
      </c>
      <c r="N44" s="41" t="n"/>
    </row>
    <row r="45">
      <c r="A45" s="80" t="n">
        <v>46154</v>
      </c>
      <c r="B45" s="41" t="n"/>
      <c r="C45" s="41" t="n"/>
      <c r="D45" s="41" t="inlineStr">
        <is>
          <t>A</t>
        </is>
      </c>
      <c r="E45" s="41" t="n"/>
      <c r="F45" s="41" t="inlineStr">
        <is>
          <t>CRIMP CENTER 02</t>
        </is>
      </c>
      <c r="G45" s="41" t="n"/>
      <c r="H45" s="41" t="n"/>
      <c r="I45" s="41" t="n"/>
      <c r="J45" s="41" t="n"/>
      <c r="K45" s="41" t="n"/>
      <c r="L45" s="41" t="n"/>
      <c r="M45" s="41" t="inlineStr">
        <is>
          <t>Open</t>
        </is>
      </c>
      <c r="N45" s="41" t="n"/>
    </row>
    <row r="46">
      <c r="A46" s="80" t="n">
        <v>46027</v>
      </c>
      <c r="B46" s="41" t="n"/>
      <c r="C46" s="41" t="n"/>
      <c r="D46" s="41" t="inlineStr">
        <is>
          <t>A</t>
        </is>
      </c>
      <c r="E46" s="41" t="n"/>
      <c r="F46" s="41" t="inlineStr">
        <is>
          <t>KOMAX K355</t>
        </is>
      </c>
      <c r="G46" s="41" t="n"/>
      <c r="H46" s="41" t="n"/>
      <c r="I46" s="41" t="n"/>
      <c r="J46" s="41" t="n"/>
      <c r="K46" s="41" t="n"/>
      <c r="L46" s="41" t="n"/>
      <c r="M46" s="41" t="inlineStr">
        <is>
          <t>In progress</t>
        </is>
      </c>
      <c r="N46" s="41" t="n"/>
    </row>
    <row r="47">
      <c r="A47" s="80" t="n">
        <v>46096</v>
      </c>
      <c r="B47" s="41" t="n"/>
      <c r="C47" s="41" t="n"/>
      <c r="D47" s="41" t="inlineStr">
        <is>
          <t>C</t>
        </is>
      </c>
      <c r="E47" s="41" t="n"/>
      <c r="F47" s="41" t="inlineStr">
        <is>
          <t>THOR-05</t>
        </is>
      </c>
      <c r="G47" s="41" t="n"/>
      <c r="H47" s="41" t="n"/>
      <c r="I47" s="41" t="n"/>
      <c r="J47" s="41" t="n"/>
      <c r="K47" s="41" t="n"/>
      <c r="L47" s="41" t="n"/>
      <c r="M47" s="41" t="inlineStr">
        <is>
          <t>Open</t>
        </is>
      </c>
      <c r="N47" s="41" t="n"/>
    </row>
    <row r="48">
      <c r="A48" s="80" t="n">
        <v>46062</v>
      </c>
      <c r="B48" s="41" t="n"/>
      <c r="C48" s="41" t="n"/>
      <c r="D48" s="41" t="inlineStr">
        <is>
          <t>B</t>
        </is>
      </c>
      <c r="E48" s="41" t="n"/>
      <c r="F48" s="41" t="inlineStr">
        <is>
          <t>THOR-05</t>
        </is>
      </c>
      <c r="G48" s="41" t="n"/>
      <c r="H48" s="41" t="n"/>
      <c r="I48" s="41" t="n"/>
      <c r="J48" s="41" t="n"/>
      <c r="K48" s="41" t="n"/>
      <c r="L48" s="41" t="n"/>
      <c r="M48" s="41" t="inlineStr">
        <is>
          <t>In progress</t>
        </is>
      </c>
      <c r="N48" s="41" t="n"/>
    </row>
    <row r="49">
      <c r="A49" s="80" t="n">
        <v>46087</v>
      </c>
      <c r="B49" s="41" t="n"/>
      <c r="C49" s="41" t="n"/>
      <c r="D49" s="41" t="inlineStr">
        <is>
          <t>A</t>
        </is>
      </c>
      <c r="E49" s="41" t="n"/>
      <c r="F49" s="41" t="inlineStr">
        <is>
          <t>CRIMP CENTER 02</t>
        </is>
      </c>
      <c r="G49" s="41" t="n"/>
      <c r="H49" s="41" t="n"/>
      <c r="I49" s="41" t="n"/>
      <c r="J49" s="41" t="n"/>
      <c r="K49" s="41" t="n"/>
      <c r="L49" s="41" t="n"/>
      <c r="M49" s="41" t="inlineStr">
        <is>
          <t>In progress</t>
        </is>
      </c>
      <c r="N49" s="41" t="n"/>
    </row>
    <row r="50">
      <c r="A50" s="80" t="n">
        <v>46176</v>
      </c>
      <c r="B50" s="41" t="n"/>
      <c r="C50" s="41" t="n"/>
      <c r="D50" s="41" t="inlineStr">
        <is>
          <t>A</t>
        </is>
      </c>
      <c r="E50" s="41" t="n"/>
      <c r="F50" s="41" t="inlineStr">
        <is>
          <t>KOMAX K355</t>
        </is>
      </c>
      <c r="G50" s="41" t="n"/>
      <c r="H50" s="41" t="n"/>
      <c r="I50" s="41" t="n"/>
      <c r="J50" s="41" t="n"/>
      <c r="K50" s="41" t="n"/>
      <c r="L50" s="41" t="n"/>
      <c r="M50" s="41" t="inlineStr">
        <is>
          <t>In progress</t>
        </is>
      </c>
      <c r="N50" s="41" t="n"/>
    </row>
    <row r="51">
      <c r="A51" s="80" t="n">
        <v>46065</v>
      </c>
      <c r="B51" s="41" t="n"/>
      <c r="C51" s="41" t="n"/>
      <c r="D51" s="41" t="inlineStr">
        <is>
          <t>C</t>
        </is>
      </c>
      <c r="E51" s="41" t="n"/>
      <c r="F51" s="41" t="inlineStr">
        <is>
          <t>KOMAX K355</t>
        </is>
      </c>
      <c r="G51" s="41" t="n"/>
      <c r="H51" s="41" t="n"/>
      <c r="I51" s="41" t="n"/>
      <c r="J51" s="41" t="n"/>
      <c r="K51" s="41" t="n"/>
      <c r="L51" s="41" t="n"/>
      <c r="M51" s="41" t="inlineStr">
        <is>
          <t>Open</t>
        </is>
      </c>
      <c r="N51" s="41" t="n"/>
    </row>
    <row r="52">
      <c r="A52" s="80" t="n">
        <v>46042</v>
      </c>
      <c r="B52" s="41" t="n"/>
      <c r="C52" s="41" t="n"/>
      <c r="D52" s="41" t="inlineStr">
        <is>
          <t>B</t>
        </is>
      </c>
      <c r="E52" s="41" t="n"/>
      <c r="F52" s="41" t="inlineStr">
        <is>
          <t>KOMAX K355</t>
        </is>
      </c>
      <c r="G52" s="41" t="n"/>
      <c r="H52" s="41" t="n"/>
      <c r="I52" s="41" t="n"/>
      <c r="J52" s="41" t="n"/>
      <c r="K52" s="41" t="n"/>
      <c r="L52" s="41" t="n"/>
      <c r="M52" s="41" t="inlineStr">
        <is>
          <t>Open</t>
        </is>
      </c>
      <c r="N52" s="41" t="n"/>
    </row>
    <row r="53">
      <c r="A53" s="80" t="n">
        <v>46065</v>
      </c>
      <c r="B53" s="41" t="n"/>
      <c r="C53" s="41" t="n"/>
      <c r="D53" s="41" t="inlineStr">
        <is>
          <t>A</t>
        </is>
      </c>
      <c r="E53" s="41" t="n"/>
      <c r="F53" s="41" t="inlineStr">
        <is>
          <t>KOMAX K355</t>
        </is>
      </c>
      <c r="G53" s="41" t="n"/>
      <c r="H53" s="41" t="n"/>
      <c r="I53" s="41" t="n"/>
      <c r="J53" s="41" t="n"/>
      <c r="K53" s="41" t="n"/>
      <c r="L53" s="41" t="n"/>
      <c r="M53" s="41" t="inlineStr">
        <is>
          <t>In progress</t>
        </is>
      </c>
      <c r="N53" s="41" t="n"/>
    </row>
    <row r="54">
      <c r="A54" s="80" t="n">
        <v>46193</v>
      </c>
      <c r="B54" s="41" t="n"/>
      <c r="C54" s="41" t="n"/>
      <c r="D54" s="41" t="inlineStr">
        <is>
          <t>A</t>
        </is>
      </c>
      <c r="E54" s="41" t="n"/>
      <c r="F54" s="41" t="inlineStr">
        <is>
          <t>CRIMP CENTER 02</t>
        </is>
      </c>
      <c r="G54" s="41" t="n"/>
      <c r="H54" s="41" t="n"/>
      <c r="I54" s="41" t="n"/>
      <c r="J54" s="41" t="n"/>
      <c r="K54" s="41" t="n"/>
      <c r="L54" s="41" t="n"/>
      <c r="M54" s="41" t="inlineStr">
        <is>
          <t>Closed</t>
        </is>
      </c>
      <c r="N54" s="41" t="n"/>
    </row>
    <row r="55">
      <c r="A55" s="80" t="n">
        <v>46100</v>
      </c>
      <c r="B55" s="41" t="n"/>
      <c r="C55" s="41" t="n"/>
      <c r="D55" s="41" t="inlineStr">
        <is>
          <t>B</t>
        </is>
      </c>
      <c r="E55" s="41" t="n"/>
      <c r="F55" s="41" t="inlineStr">
        <is>
          <t>PRESS-12</t>
        </is>
      </c>
      <c r="G55" s="41" t="n"/>
      <c r="H55" s="41" t="n"/>
      <c r="I55" s="41" t="n"/>
      <c r="J55" s="41" t="n"/>
      <c r="K55" s="41" t="n"/>
      <c r="L55" s="41" t="n"/>
      <c r="M55" s="41" t="inlineStr">
        <is>
          <t>Closed</t>
        </is>
      </c>
      <c r="N55" s="41" t="n"/>
    </row>
    <row r="56">
      <c r="A56" s="80" t="n">
        <v>46149</v>
      </c>
      <c r="B56" s="41" t="n"/>
      <c r="C56" s="41" t="n"/>
      <c r="D56" s="41" t="inlineStr">
        <is>
          <t>A</t>
        </is>
      </c>
      <c r="E56" s="41" t="n"/>
      <c r="F56" s="41" t="inlineStr">
        <is>
          <t>CRIMP CENTER 02</t>
        </is>
      </c>
      <c r="G56" s="41" t="n"/>
      <c r="H56" s="41" t="n"/>
      <c r="I56" s="41" t="n"/>
      <c r="J56" s="41" t="n"/>
      <c r="K56" s="41" t="n"/>
      <c r="L56" s="41" t="n"/>
      <c r="M56" s="41" t="inlineStr">
        <is>
          <t>Closed</t>
        </is>
      </c>
      <c r="N56" s="41" t="n"/>
    </row>
    <row r="57">
      <c r="A57" s="80" t="n">
        <v>46067</v>
      </c>
      <c r="B57" s="41" t="n"/>
      <c r="C57" s="41" t="n"/>
      <c r="D57" s="41" t="inlineStr">
        <is>
          <t>B</t>
        </is>
      </c>
      <c r="E57" s="41" t="n"/>
      <c r="F57" s="41" t="inlineStr">
        <is>
          <t>CRIMP CENTER 02</t>
        </is>
      </c>
      <c r="G57" s="41" t="n"/>
      <c r="H57" s="41" t="n"/>
      <c r="I57" s="41" t="n"/>
      <c r="J57" s="41" t="n"/>
      <c r="K57" s="41" t="n"/>
      <c r="L57" s="41" t="n"/>
      <c r="M57" s="41" t="inlineStr">
        <is>
          <t>Open</t>
        </is>
      </c>
      <c r="N57" s="41" t="n"/>
    </row>
    <row r="58">
      <c r="A58" s="80" t="n">
        <v>46034</v>
      </c>
      <c r="B58" s="41" t="n"/>
      <c r="C58" s="41" t="n"/>
      <c r="D58" s="41" t="inlineStr">
        <is>
          <t>A</t>
        </is>
      </c>
      <c r="E58" s="41" t="n"/>
      <c r="F58" s="41" t="inlineStr">
        <is>
          <t>KOMAX K355</t>
        </is>
      </c>
      <c r="G58" s="41" t="n"/>
      <c r="H58" s="41" t="n"/>
      <c r="I58" s="41" t="n"/>
      <c r="J58" s="41" t="n"/>
      <c r="K58" s="41" t="n"/>
      <c r="L58" s="41" t="n"/>
      <c r="M58" s="41" t="inlineStr">
        <is>
          <t>Open</t>
        </is>
      </c>
      <c r="N58" s="41" t="n"/>
    </row>
    <row r="59">
      <c r="A59" s="80" t="n">
        <v>46191</v>
      </c>
      <c r="B59" s="41" t="n"/>
      <c r="C59" s="41" t="n"/>
      <c r="D59" s="41" t="inlineStr">
        <is>
          <t>C</t>
        </is>
      </c>
      <c r="E59" s="41" t="n"/>
      <c r="F59" s="41" t="inlineStr">
        <is>
          <t>THOR-05</t>
        </is>
      </c>
      <c r="G59" s="41" t="n"/>
      <c r="H59" s="41" t="n"/>
      <c r="I59" s="41" t="n"/>
      <c r="J59" s="41" t="n"/>
      <c r="K59" s="41" t="n"/>
      <c r="L59" s="41" t="n"/>
      <c r="M59" s="41" t="inlineStr">
        <is>
          <t>Open</t>
        </is>
      </c>
      <c r="N59" s="41" t="n"/>
    </row>
    <row r="60">
      <c r="A60" s="80" t="n">
        <v>46048</v>
      </c>
      <c r="B60" s="41" t="n"/>
      <c r="C60" s="41" t="n"/>
      <c r="D60" s="41" t="inlineStr">
        <is>
          <t>B</t>
        </is>
      </c>
      <c r="E60" s="41" t="n"/>
      <c r="F60" s="41" t="inlineStr">
        <is>
          <t>THOR-05</t>
        </is>
      </c>
      <c r="G60" s="41" t="n"/>
      <c r="H60" s="41" t="n"/>
      <c r="I60" s="41" t="n"/>
      <c r="J60" s="41" t="n"/>
      <c r="K60" s="41" t="n"/>
      <c r="L60" s="41" t="n"/>
      <c r="M60" s="41" t="inlineStr">
        <is>
          <t>Closed</t>
        </is>
      </c>
      <c r="N60" s="41" t="n"/>
    </row>
    <row r="61">
      <c r="A61" s="80" t="n">
        <v>46123</v>
      </c>
      <c r="B61" s="41" t="n"/>
      <c r="C61" s="41" t="n"/>
      <c r="D61" s="41" t="inlineStr">
        <is>
          <t>A</t>
        </is>
      </c>
      <c r="E61" s="41" t="n"/>
      <c r="F61" s="41" t="inlineStr">
        <is>
          <t>THOR-05</t>
        </is>
      </c>
      <c r="G61" s="41" t="n"/>
      <c r="H61" s="41" t="n"/>
      <c r="I61" s="41" t="n"/>
      <c r="J61" s="41" t="n"/>
      <c r="K61" s="41" t="n"/>
      <c r="L61" s="41" t="n"/>
      <c r="M61" s="41" t="inlineStr">
        <is>
          <t>Closed</t>
        </is>
      </c>
      <c r="N61" s="41" t="n"/>
    </row>
    <row r="62">
      <c r="A62" s="80" t="n">
        <v>46128</v>
      </c>
      <c r="B62" s="41" t="n"/>
      <c r="C62" s="41" t="n"/>
      <c r="D62" s="41" t="inlineStr">
        <is>
          <t>A</t>
        </is>
      </c>
      <c r="E62" s="41" t="n"/>
      <c r="F62" s="41" t="inlineStr">
        <is>
          <t>THOR-05</t>
        </is>
      </c>
      <c r="G62" s="41" t="n"/>
      <c r="H62" s="41" t="n"/>
      <c r="I62" s="41" t="n"/>
      <c r="J62" s="41" t="n"/>
      <c r="K62" s="41" t="n"/>
      <c r="L62" s="41" t="n"/>
      <c r="M62" s="41" t="inlineStr">
        <is>
          <t>Closed</t>
        </is>
      </c>
      <c r="N62" s="41" t="n"/>
    </row>
    <row r="63">
      <c r="A63" s="80" t="n">
        <v>46049</v>
      </c>
      <c r="B63" s="41" t="n"/>
      <c r="C63" s="41" t="n"/>
      <c r="D63" s="41" t="inlineStr">
        <is>
          <t>B</t>
        </is>
      </c>
      <c r="E63" s="41" t="n"/>
      <c r="F63" s="41" t="inlineStr">
        <is>
          <t>PRESS-12</t>
        </is>
      </c>
      <c r="G63" s="41" t="n"/>
      <c r="H63" s="41" t="n"/>
      <c r="I63" s="41" t="n"/>
      <c r="J63" s="41" t="n"/>
      <c r="K63" s="41" t="n"/>
      <c r="L63" s="41" t="n"/>
      <c r="M63" s="41" t="inlineStr">
        <is>
          <t>Open</t>
        </is>
      </c>
      <c r="N63" s="41" t="n"/>
    </row>
    <row r="64">
      <c r="A64" s="80" t="n">
        <v>46134</v>
      </c>
      <c r="B64" s="41" t="n"/>
      <c r="C64" s="41" t="n"/>
      <c r="D64" s="41" t="inlineStr">
        <is>
          <t>A</t>
        </is>
      </c>
      <c r="E64" s="41" t="n"/>
      <c r="F64" s="41" t="inlineStr">
        <is>
          <t>THOR-05</t>
        </is>
      </c>
      <c r="G64" s="41" t="n"/>
      <c r="H64" s="41" t="n"/>
      <c r="I64" s="41" t="n"/>
      <c r="J64" s="41" t="n"/>
      <c r="K64" s="41" t="n"/>
      <c r="L64" s="41" t="n"/>
      <c r="M64" s="41" t="inlineStr">
        <is>
          <t>In progress</t>
        </is>
      </c>
      <c r="N64" s="41" t="n"/>
    </row>
    <row r="65">
      <c r="A65" s="80" t="n">
        <v>46196</v>
      </c>
      <c r="B65" s="41" t="n"/>
      <c r="C65" s="41" t="n"/>
      <c r="D65" s="41" t="inlineStr">
        <is>
          <t>B</t>
        </is>
      </c>
      <c r="E65" s="41" t="n"/>
      <c r="F65" s="41" t="inlineStr">
        <is>
          <t>KOMAX K355</t>
        </is>
      </c>
      <c r="G65" s="41" t="n"/>
      <c r="H65" s="41" t="n"/>
      <c r="I65" s="41" t="n"/>
      <c r="J65" s="41" t="n"/>
      <c r="K65" s="41" t="n"/>
      <c r="L65" s="41" t="n"/>
      <c r="M65" s="41" t="inlineStr">
        <is>
          <t>In progress</t>
        </is>
      </c>
      <c r="N65" s="41" t="n"/>
    </row>
    <row r="66">
      <c r="A66" s="80" t="n">
        <v>46176</v>
      </c>
      <c r="B66" s="41" t="n"/>
      <c r="C66" s="41" t="n"/>
      <c r="D66" s="41" t="inlineStr">
        <is>
          <t>A</t>
        </is>
      </c>
      <c r="E66" s="41" t="n"/>
      <c r="F66" s="41" t="inlineStr">
        <is>
          <t>SCHLEUNIGER C386</t>
        </is>
      </c>
      <c r="G66" s="41" t="n"/>
      <c r="H66" s="41" t="n"/>
      <c r="I66" s="41" t="n"/>
      <c r="J66" s="41" t="n"/>
      <c r="K66" s="41" t="n"/>
      <c r="L66" s="41" t="n"/>
      <c r="M66" s="41" t="inlineStr">
        <is>
          <t>Closed</t>
        </is>
      </c>
      <c r="N66" s="41" t="n"/>
    </row>
    <row r="67">
      <c r="A67" s="80" t="n">
        <v>46028</v>
      </c>
      <c r="B67" s="41" t="n"/>
      <c r="C67" s="41" t="n"/>
      <c r="D67" s="41" t="inlineStr">
        <is>
          <t>A</t>
        </is>
      </c>
      <c r="E67" s="41" t="n"/>
      <c r="F67" s="41" t="inlineStr">
        <is>
          <t>THOR-05</t>
        </is>
      </c>
      <c r="G67" s="41" t="n"/>
      <c r="H67" s="41" t="n"/>
      <c r="I67" s="41" t="n"/>
      <c r="J67" s="41" t="n"/>
      <c r="K67" s="41" t="n"/>
      <c r="L67" s="41" t="n"/>
      <c r="M67" s="41" t="inlineStr">
        <is>
          <t>Closed</t>
        </is>
      </c>
      <c r="N67" s="41" t="n"/>
    </row>
    <row r="68">
      <c r="A68" s="80" t="n">
        <v>46140</v>
      </c>
      <c r="B68" s="41" t="n"/>
      <c r="C68" s="41" t="n"/>
      <c r="D68" s="41" t="inlineStr">
        <is>
          <t>C</t>
        </is>
      </c>
      <c r="E68" s="41" t="n"/>
      <c r="F68" s="41" t="inlineStr">
        <is>
          <t>PRESS-12</t>
        </is>
      </c>
      <c r="G68" s="41" t="n"/>
      <c r="H68" s="41" t="n"/>
      <c r="I68" s="41" t="n"/>
      <c r="J68" s="41" t="n"/>
      <c r="K68" s="41" t="n"/>
      <c r="L68" s="41" t="n"/>
      <c r="M68" s="41" t="inlineStr">
        <is>
          <t>Open</t>
        </is>
      </c>
      <c r="N68" s="41" t="n"/>
    </row>
    <row r="69">
      <c r="A69" s="80" t="n">
        <v>46114</v>
      </c>
      <c r="B69" s="41" t="n"/>
      <c r="C69" s="41" t="n"/>
      <c r="D69" s="41" t="inlineStr">
        <is>
          <t>B</t>
        </is>
      </c>
      <c r="E69" s="41" t="n"/>
      <c r="F69" s="41" t="inlineStr">
        <is>
          <t>THOR-05</t>
        </is>
      </c>
      <c r="G69" s="41" t="n"/>
      <c r="H69" s="41" t="n"/>
      <c r="I69" s="41" t="n"/>
      <c r="J69" s="41" t="n"/>
      <c r="K69" s="41" t="n"/>
      <c r="L69" s="41" t="n"/>
      <c r="M69" s="41" t="inlineStr">
        <is>
          <t>In progress</t>
        </is>
      </c>
      <c r="N69" s="41" t="n"/>
    </row>
    <row r="70">
      <c r="A70" s="80" t="n">
        <v>46103</v>
      </c>
      <c r="B70" s="41" t="n"/>
      <c r="C70" s="41" t="n"/>
      <c r="D70" s="41" t="inlineStr">
        <is>
          <t>C</t>
        </is>
      </c>
      <c r="E70" s="41" t="n"/>
      <c r="F70" s="41" t="inlineStr">
        <is>
          <t>PRESS-12</t>
        </is>
      </c>
      <c r="G70" s="41" t="n"/>
      <c r="H70" s="41" t="n"/>
      <c r="I70" s="41" t="n"/>
      <c r="J70" s="41" t="n"/>
      <c r="K70" s="41" t="n"/>
      <c r="L70" s="41" t="n"/>
      <c r="M70" s="41" t="inlineStr">
        <is>
          <t>In progress</t>
        </is>
      </c>
      <c r="N70" s="41" t="n"/>
    </row>
    <row r="71">
      <c r="A71" s="80" t="n">
        <v>46114</v>
      </c>
      <c r="B71" s="41" t="n"/>
      <c r="C71" s="41" t="n"/>
      <c r="D71" s="41" t="inlineStr">
        <is>
          <t>A</t>
        </is>
      </c>
      <c r="E71" s="41" t="n"/>
      <c r="F71" s="41" t="inlineStr">
        <is>
          <t>SCHLEUNIGER C386</t>
        </is>
      </c>
      <c r="G71" s="41" t="n"/>
      <c r="H71" s="41" t="n"/>
      <c r="I71" s="41" t="n"/>
      <c r="J71" s="41" t="n"/>
      <c r="K71" s="41" t="n"/>
      <c r="L71" s="41" t="n"/>
      <c r="M71" s="41" t="inlineStr">
        <is>
          <t>In progress</t>
        </is>
      </c>
      <c r="N71" s="41" t="n"/>
    </row>
    <row r="72">
      <c r="A72" s="80" t="n">
        <v>46200</v>
      </c>
      <c r="B72" s="41" t="n"/>
      <c r="C72" s="41" t="n"/>
      <c r="D72" s="41" t="inlineStr">
        <is>
          <t>C</t>
        </is>
      </c>
      <c r="E72" s="41" t="n"/>
      <c r="F72" s="41" t="inlineStr">
        <is>
          <t>THOR-05</t>
        </is>
      </c>
      <c r="G72" s="41" t="n"/>
      <c r="H72" s="41" t="n"/>
      <c r="I72" s="41" t="n"/>
      <c r="J72" s="41" t="n"/>
      <c r="K72" s="41" t="n"/>
      <c r="L72" s="41" t="n"/>
      <c r="M72" s="41" t="inlineStr">
        <is>
          <t>Closed</t>
        </is>
      </c>
      <c r="N72" s="41" t="n"/>
    </row>
    <row r="73">
      <c r="A73" s="80" t="n">
        <v>46099</v>
      </c>
      <c r="B73" s="41" t="n"/>
      <c r="C73" s="41" t="n"/>
      <c r="D73" s="41" t="inlineStr">
        <is>
          <t>B</t>
        </is>
      </c>
      <c r="E73" s="41" t="n"/>
      <c r="F73" s="41" t="inlineStr">
        <is>
          <t>CRIMP CENTER 02</t>
        </is>
      </c>
      <c r="G73" s="41" t="n"/>
      <c r="H73" s="41" t="n"/>
      <c r="I73" s="41" t="n"/>
      <c r="J73" s="41" t="n"/>
      <c r="K73" s="41" t="n"/>
      <c r="L73" s="41" t="n"/>
      <c r="M73" s="41" t="inlineStr">
        <is>
          <t>Closed</t>
        </is>
      </c>
      <c r="N73" s="41" t="n"/>
    </row>
    <row r="74">
      <c r="A74" s="80" t="n">
        <v>46044</v>
      </c>
      <c r="B74" s="41" t="n"/>
      <c r="C74" s="41" t="n"/>
      <c r="D74" s="41" t="inlineStr">
        <is>
          <t>A</t>
        </is>
      </c>
      <c r="E74" s="41" t="n"/>
      <c r="F74" s="41" t="inlineStr">
        <is>
          <t>THOR-05</t>
        </is>
      </c>
      <c r="G74" s="41" t="n"/>
      <c r="H74" s="41" t="n"/>
      <c r="I74" s="41" t="n"/>
      <c r="J74" s="41" t="n"/>
      <c r="K74" s="41" t="n"/>
      <c r="L74" s="41" t="n"/>
      <c r="M74" s="41" t="inlineStr">
        <is>
          <t>In progress</t>
        </is>
      </c>
      <c r="N74" s="41" t="n"/>
    </row>
    <row r="75">
      <c r="A75" s="80" t="n">
        <v>46066</v>
      </c>
      <c r="B75" s="41" t="n"/>
      <c r="C75" s="41" t="n"/>
      <c r="D75" s="41" t="inlineStr">
        <is>
          <t>A</t>
        </is>
      </c>
      <c r="E75" s="41" t="n"/>
      <c r="F75" s="41" t="inlineStr">
        <is>
          <t>PRESS-12</t>
        </is>
      </c>
      <c r="G75" s="41" t="n"/>
      <c r="H75" s="41" t="n"/>
      <c r="I75" s="41" t="n"/>
      <c r="J75" s="41" t="n"/>
      <c r="K75" s="41" t="n"/>
      <c r="L75" s="41" t="n"/>
      <c r="M75" s="41" t="inlineStr">
        <is>
          <t>In progress</t>
        </is>
      </c>
      <c r="N75" s="41" t="n"/>
    </row>
    <row r="76">
      <c r="A76" s="80" t="n">
        <v>46180</v>
      </c>
      <c r="B76" s="41" t="n"/>
      <c r="C76" s="41" t="n"/>
      <c r="D76" s="41" t="inlineStr">
        <is>
          <t>C</t>
        </is>
      </c>
      <c r="E76" s="41" t="n"/>
      <c r="F76" s="41" t="inlineStr">
        <is>
          <t>THOR-05</t>
        </is>
      </c>
      <c r="G76" s="41" t="n"/>
      <c r="H76" s="41" t="n"/>
      <c r="I76" s="41" t="n"/>
      <c r="J76" s="41" t="n"/>
      <c r="K76" s="41" t="n"/>
      <c r="L76" s="41" t="n"/>
      <c r="M76" s="41" t="inlineStr">
        <is>
          <t>Closed</t>
        </is>
      </c>
      <c r="N76" s="41" t="n"/>
    </row>
    <row r="77">
      <c r="A77" s="80" t="n">
        <v>46061</v>
      </c>
      <c r="B77" s="41" t="n"/>
      <c r="C77" s="41" t="n"/>
      <c r="D77" s="41" t="inlineStr">
        <is>
          <t>B</t>
        </is>
      </c>
      <c r="E77" s="41" t="n"/>
      <c r="F77" s="41" t="inlineStr">
        <is>
          <t>THOR-05</t>
        </is>
      </c>
      <c r="G77" s="41" t="n"/>
      <c r="H77" s="41" t="n"/>
      <c r="I77" s="41" t="n"/>
      <c r="J77" s="41" t="n"/>
      <c r="K77" s="41" t="n"/>
      <c r="L77" s="41" t="n"/>
      <c r="M77" s="41" t="inlineStr">
        <is>
          <t>Closed</t>
        </is>
      </c>
      <c r="N77" s="41" t="n"/>
    </row>
    <row r="78">
      <c r="A78" s="80" t="n">
        <v>46154</v>
      </c>
      <c r="B78" s="41" t="n"/>
      <c r="C78" s="41" t="n"/>
      <c r="D78" s="41" t="inlineStr">
        <is>
          <t>A</t>
        </is>
      </c>
      <c r="E78" s="41" t="n"/>
      <c r="F78" s="41" t="inlineStr">
        <is>
          <t>THOR-05</t>
        </is>
      </c>
      <c r="G78" s="41" t="n"/>
      <c r="H78" s="41" t="n"/>
      <c r="I78" s="41" t="n"/>
      <c r="J78" s="41" t="n"/>
      <c r="K78" s="41" t="n"/>
      <c r="L78" s="41" t="n"/>
      <c r="M78" s="41" t="inlineStr">
        <is>
          <t>In progress</t>
        </is>
      </c>
      <c r="N78" s="41" t="n"/>
    </row>
    <row r="79">
      <c r="A79" s="80" t="n">
        <v>46111</v>
      </c>
      <c r="B79" s="41" t="n"/>
      <c r="C79" s="41" t="n"/>
      <c r="D79" s="41" t="inlineStr">
        <is>
          <t>C</t>
        </is>
      </c>
      <c r="E79" s="41" t="n"/>
      <c r="F79" s="41" t="inlineStr">
        <is>
          <t>SCHLEUNIGER C386</t>
        </is>
      </c>
      <c r="G79" s="41" t="n"/>
      <c r="H79" s="41" t="n"/>
      <c r="I79" s="41" t="n"/>
      <c r="J79" s="41" t="n"/>
      <c r="K79" s="41" t="n"/>
      <c r="L79" s="41" t="n"/>
      <c r="M79" s="41" t="inlineStr">
        <is>
          <t>Open</t>
        </is>
      </c>
      <c r="N79" s="41" t="n"/>
    </row>
    <row r="80">
      <c r="A80" s="80" t="n">
        <v>46109</v>
      </c>
      <c r="B80" s="41" t="n"/>
      <c r="C80" s="41" t="n"/>
      <c r="D80" s="41" t="inlineStr">
        <is>
          <t>A</t>
        </is>
      </c>
      <c r="E80" s="41" t="n"/>
      <c r="F80" s="41" t="inlineStr">
        <is>
          <t>SCHLEUNIGER C386</t>
        </is>
      </c>
      <c r="G80" s="41" t="n"/>
      <c r="H80" s="41" t="n"/>
      <c r="I80" s="41" t="n"/>
      <c r="J80" s="41" t="n"/>
      <c r="K80" s="41" t="n"/>
      <c r="L80" s="41" t="n"/>
      <c r="M80" s="41" t="inlineStr">
        <is>
          <t>Closed</t>
        </is>
      </c>
      <c r="N80" s="41" t="n"/>
    </row>
    <row r="81">
      <c r="A81" s="80" t="n">
        <v>46123</v>
      </c>
      <c r="B81" s="41" t="n"/>
      <c r="C81" s="41" t="n"/>
      <c r="D81" s="41" t="inlineStr">
        <is>
          <t>C</t>
        </is>
      </c>
      <c r="E81" s="41" t="n"/>
      <c r="F81" s="41" t="inlineStr">
        <is>
          <t>PRESS-12</t>
        </is>
      </c>
      <c r="G81" s="41" t="n"/>
      <c r="H81" s="41" t="n"/>
      <c r="I81" s="41" t="n"/>
      <c r="J81" s="41" t="n"/>
      <c r="K81" s="41" t="n"/>
      <c r="L81" s="41" t="n"/>
      <c r="M81" s="41" t="inlineStr">
        <is>
          <t>Open</t>
        </is>
      </c>
      <c r="N81" s="41" t="n"/>
    </row>
    <row r="82">
      <c r="A82" s="80" t="n">
        <v>46115</v>
      </c>
      <c r="B82" s="41" t="n"/>
      <c r="C82" s="41" t="n"/>
      <c r="D82" s="41" t="inlineStr">
        <is>
          <t>A</t>
        </is>
      </c>
      <c r="E82" s="41" t="n"/>
      <c r="F82" s="41" t="inlineStr">
        <is>
          <t>PRESS-12</t>
        </is>
      </c>
      <c r="G82" s="41" t="n"/>
      <c r="H82" s="41" t="n"/>
      <c r="I82" s="41" t="n"/>
      <c r="J82" s="41" t="n"/>
      <c r="K82" s="41" t="n"/>
      <c r="L82" s="41" t="n"/>
      <c r="M82" s="41" t="inlineStr">
        <is>
          <t>In progress</t>
        </is>
      </c>
      <c r="N82" s="41" t="n"/>
    </row>
    <row r="83">
      <c r="A83" s="80" t="n">
        <v>46103</v>
      </c>
      <c r="B83" s="41" t="n"/>
      <c r="C83" s="41" t="n"/>
      <c r="D83" s="41" t="inlineStr">
        <is>
          <t>B</t>
        </is>
      </c>
      <c r="E83" s="41" t="n"/>
      <c r="F83" s="41" t="inlineStr">
        <is>
          <t>KOMAX K355</t>
        </is>
      </c>
      <c r="G83" s="41" t="n"/>
      <c r="H83" s="41" t="n"/>
      <c r="I83" s="41" t="n"/>
      <c r="J83" s="41" t="n"/>
      <c r="K83" s="41" t="n"/>
      <c r="L83" s="41" t="n"/>
      <c r="M83" s="41" t="inlineStr">
        <is>
          <t>Closed</t>
        </is>
      </c>
      <c r="N83" s="41" t="n"/>
    </row>
    <row r="84">
      <c r="A84" s="80" t="n">
        <v>46064</v>
      </c>
      <c r="B84" s="41" t="n"/>
      <c r="C84" s="41" t="n"/>
      <c r="D84" s="41" t="inlineStr">
        <is>
          <t>C</t>
        </is>
      </c>
      <c r="E84" s="41" t="n"/>
      <c r="F84" s="41" t="inlineStr">
        <is>
          <t>THOR-05</t>
        </is>
      </c>
      <c r="G84" s="41" t="n"/>
      <c r="H84" s="41" t="n"/>
      <c r="I84" s="41" t="n"/>
      <c r="J84" s="41" t="n"/>
      <c r="K84" s="41" t="n"/>
      <c r="L84" s="41" t="n"/>
      <c r="M84" s="41" t="inlineStr">
        <is>
          <t>Open</t>
        </is>
      </c>
      <c r="N84" s="41" t="n"/>
    </row>
    <row r="85">
      <c r="A85" s="80" t="n">
        <v>46137</v>
      </c>
      <c r="B85" s="41" t="n"/>
      <c r="C85" s="41" t="n"/>
      <c r="D85" s="41" t="inlineStr">
        <is>
          <t>B</t>
        </is>
      </c>
      <c r="E85" s="41" t="n"/>
      <c r="F85" s="41" t="inlineStr">
        <is>
          <t>THOR-05</t>
        </is>
      </c>
      <c r="G85" s="41" t="n"/>
      <c r="H85" s="41" t="n"/>
      <c r="I85" s="41" t="n"/>
      <c r="J85" s="41" t="n"/>
      <c r="K85" s="41" t="n"/>
      <c r="L85" s="41" t="n"/>
      <c r="M85" s="41" t="inlineStr">
        <is>
          <t>Open</t>
        </is>
      </c>
      <c r="N85" s="41" t="n"/>
    </row>
    <row r="86">
      <c r="A86" s="80" t="n">
        <v>46149</v>
      </c>
      <c r="B86" s="41" t="n"/>
      <c r="C86" s="41" t="n"/>
      <c r="D86" s="41" t="inlineStr">
        <is>
          <t>C</t>
        </is>
      </c>
      <c r="E86" s="41" t="n"/>
      <c r="F86" s="41" t="inlineStr">
        <is>
          <t>THOR-05</t>
        </is>
      </c>
      <c r="G86" s="41" t="n"/>
      <c r="H86" s="41" t="n"/>
      <c r="I86" s="41" t="n"/>
      <c r="J86" s="41" t="n"/>
      <c r="K86" s="41" t="n"/>
      <c r="L86" s="41" t="n"/>
      <c r="M86" s="41" t="inlineStr">
        <is>
          <t>Closed</t>
        </is>
      </c>
      <c r="N86" s="41" t="n"/>
    </row>
    <row r="87">
      <c r="A87" s="80" t="n">
        <v>46154</v>
      </c>
      <c r="B87" s="41" t="n"/>
      <c r="C87" s="41" t="n"/>
      <c r="D87" s="41" t="inlineStr">
        <is>
          <t>C</t>
        </is>
      </c>
      <c r="E87" s="41" t="n"/>
      <c r="F87" s="41" t="inlineStr">
        <is>
          <t>KOMAX K355</t>
        </is>
      </c>
      <c r="G87" s="41" t="n"/>
      <c r="H87" s="41" t="n"/>
      <c r="I87" s="41" t="n"/>
      <c r="J87" s="41" t="n"/>
      <c r="K87" s="41" t="n"/>
      <c r="L87" s="41" t="n"/>
      <c r="M87" s="41" t="inlineStr">
        <is>
          <t>In progress</t>
        </is>
      </c>
      <c r="N87" s="41" t="n"/>
    </row>
    <row r="88">
      <c r="A88" s="80" t="n">
        <v>46121</v>
      </c>
      <c r="B88" s="41" t="n"/>
      <c r="C88" s="41" t="n"/>
      <c r="D88" s="41" t="inlineStr">
        <is>
          <t>C</t>
        </is>
      </c>
      <c r="E88" s="41" t="n"/>
      <c r="F88" s="41" t="inlineStr">
        <is>
          <t>CRIMP CENTER 02</t>
        </is>
      </c>
      <c r="G88" s="41" t="n"/>
      <c r="H88" s="41" t="n"/>
      <c r="I88" s="41" t="n"/>
      <c r="J88" s="41" t="n"/>
      <c r="K88" s="41" t="n"/>
      <c r="L88" s="41" t="n"/>
      <c r="M88" s="41" t="inlineStr">
        <is>
          <t>Closed</t>
        </is>
      </c>
      <c r="N88" s="41" t="n"/>
    </row>
    <row r="89">
      <c r="A89" s="80" t="n">
        <v>46194</v>
      </c>
      <c r="B89" s="41" t="n"/>
      <c r="C89" s="41" t="n"/>
      <c r="D89" s="41" t="inlineStr">
        <is>
          <t>A</t>
        </is>
      </c>
      <c r="E89" s="41" t="n"/>
      <c r="F89" s="41" t="inlineStr">
        <is>
          <t>THOR-05</t>
        </is>
      </c>
      <c r="G89" s="41" t="n"/>
      <c r="H89" s="41" t="n"/>
      <c r="I89" s="41" t="n"/>
      <c r="J89" s="41" t="n"/>
      <c r="K89" s="41" t="n"/>
      <c r="L89" s="41" t="n"/>
      <c r="M89" s="41" t="inlineStr">
        <is>
          <t>Closed</t>
        </is>
      </c>
      <c r="N89" s="41" t="n"/>
    </row>
    <row r="90">
      <c r="A90" s="80" t="n">
        <v>46127</v>
      </c>
      <c r="B90" s="41" t="n"/>
      <c r="C90" s="41" t="n"/>
      <c r="D90" s="41" t="inlineStr">
        <is>
          <t>B</t>
        </is>
      </c>
      <c r="E90" s="41" t="n"/>
      <c r="F90" s="41" t="inlineStr">
        <is>
          <t>PRESS-12</t>
        </is>
      </c>
      <c r="G90" s="41" t="n"/>
      <c r="H90" s="41" t="n"/>
      <c r="I90" s="41" t="n"/>
      <c r="J90" s="41" t="n"/>
      <c r="K90" s="41" t="n"/>
      <c r="L90" s="41" t="n"/>
      <c r="M90" s="41" t="inlineStr">
        <is>
          <t>Open</t>
        </is>
      </c>
      <c r="N90" s="41" t="n"/>
    </row>
    <row r="91">
      <c r="A91" s="80" t="n">
        <v>46201</v>
      </c>
      <c r="B91" s="41" t="n"/>
      <c r="C91" s="41" t="n"/>
      <c r="D91" s="41" t="inlineStr">
        <is>
          <t>B</t>
        </is>
      </c>
      <c r="E91" s="41" t="n"/>
      <c r="F91" s="41" t="inlineStr">
        <is>
          <t>THOR-05</t>
        </is>
      </c>
      <c r="G91" s="41" t="n"/>
      <c r="H91" s="41" t="n"/>
      <c r="I91" s="41" t="n"/>
      <c r="J91" s="41" t="n"/>
      <c r="K91" s="41" t="n"/>
      <c r="L91" s="41" t="n"/>
      <c r="M91" s="41" t="inlineStr">
        <is>
          <t>In progress</t>
        </is>
      </c>
      <c r="N91" s="41" t="n"/>
    </row>
    <row r="92">
      <c r="A92" s="80" t="n">
        <v>46071</v>
      </c>
      <c r="B92" s="41" t="n"/>
      <c r="C92" s="41" t="n"/>
      <c r="D92" s="41" t="inlineStr">
        <is>
          <t>A</t>
        </is>
      </c>
      <c r="E92" s="41" t="n"/>
      <c r="F92" s="41" t="inlineStr">
        <is>
          <t>CRIMP CENTER 02</t>
        </is>
      </c>
      <c r="G92" s="41" t="n"/>
      <c r="H92" s="41" t="n"/>
      <c r="I92" s="41" t="n"/>
      <c r="J92" s="41" t="n"/>
      <c r="K92" s="41" t="n"/>
      <c r="L92" s="41" t="n"/>
      <c r="M92" s="41" t="inlineStr">
        <is>
          <t>In progress</t>
        </is>
      </c>
      <c r="N92" s="41" t="n"/>
    </row>
    <row r="93">
      <c r="A93" s="80" t="n">
        <v>46059</v>
      </c>
      <c r="B93" s="41" t="n"/>
      <c r="C93" s="41" t="n"/>
      <c r="D93" s="41" t="inlineStr">
        <is>
          <t>C</t>
        </is>
      </c>
      <c r="E93" s="41" t="n"/>
      <c r="F93" s="41" t="inlineStr">
        <is>
          <t>SCHLEUNIGER C386</t>
        </is>
      </c>
      <c r="G93" s="41" t="n"/>
      <c r="H93" s="41" t="n"/>
      <c r="I93" s="41" t="n"/>
      <c r="J93" s="41" t="n"/>
      <c r="K93" s="41" t="n"/>
      <c r="L93" s="41" t="n"/>
      <c r="M93" s="41" t="inlineStr">
        <is>
          <t>Open</t>
        </is>
      </c>
      <c r="N93" s="41" t="n"/>
    </row>
    <row r="94">
      <c r="A94" s="80" t="n">
        <v>46070</v>
      </c>
      <c r="B94" s="41" t="n"/>
      <c r="C94" s="41" t="n"/>
      <c r="D94" s="41" t="inlineStr">
        <is>
          <t>A</t>
        </is>
      </c>
      <c r="E94" s="41" t="n"/>
      <c r="F94" s="41" t="inlineStr">
        <is>
          <t>CRIMP CENTER 02</t>
        </is>
      </c>
      <c r="G94" s="41" t="n"/>
      <c r="H94" s="41" t="n"/>
      <c r="I94" s="41" t="n"/>
      <c r="J94" s="41" t="n"/>
      <c r="K94" s="41" t="n"/>
      <c r="L94" s="41" t="n"/>
      <c r="M94" s="41" t="inlineStr">
        <is>
          <t>In progress</t>
        </is>
      </c>
      <c r="N94" s="41" t="n"/>
    </row>
    <row r="95">
      <c r="A95" s="80" t="n">
        <v>46034</v>
      </c>
      <c r="B95" s="41" t="n"/>
      <c r="C95" s="41" t="n"/>
      <c r="D95" s="41" t="inlineStr">
        <is>
          <t>A</t>
        </is>
      </c>
      <c r="E95" s="41" t="n"/>
      <c r="F95" s="41" t="inlineStr">
        <is>
          <t>CRIMP CENTER 02</t>
        </is>
      </c>
      <c r="G95" s="41" t="n"/>
      <c r="H95" s="41" t="n"/>
      <c r="I95" s="41" t="n"/>
      <c r="J95" s="41" t="n"/>
      <c r="K95" s="41" t="n"/>
      <c r="L95" s="41" t="n"/>
      <c r="M95" s="41" t="inlineStr">
        <is>
          <t>In progress</t>
        </is>
      </c>
      <c r="N95" s="41" t="n"/>
    </row>
    <row r="96">
      <c r="A96" s="80" t="n">
        <v>46194</v>
      </c>
      <c r="B96" s="41" t="n"/>
      <c r="C96" s="41" t="n"/>
      <c r="D96" s="41" t="inlineStr">
        <is>
          <t>B</t>
        </is>
      </c>
      <c r="E96" s="41" t="n"/>
      <c r="F96" s="41" t="inlineStr">
        <is>
          <t>CRIMP CENTER 02</t>
        </is>
      </c>
      <c r="G96" s="41" t="n"/>
      <c r="H96" s="41" t="n"/>
      <c r="I96" s="41" t="n"/>
      <c r="J96" s="41" t="n"/>
      <c r="K96" s="41" t="n"/>
      <c r="L96" s="41" t="n"/>
      <c r="M96" s="41" t="inlineStr">
        <is>
          <t>Open</t>
        </is>
      </c>
      <c r="N96" s="41" t="n"/>
    </row>
    <row r="97">
      <c r="A97" s="80" t="n">
        <v>46025</v>
      </c>
      <c r="B97" s="41" t="n"/>
      <c r="C97" s="41" t="n"/>
      <c r="D97" s="41" t="inlineStr">
        <is>
          <t>A</t>
        </is>
      </c>
      <c r="E97" s="41" t="n"/>
      <c r="F97" s="41" t="inlineStr">
        <is>
          <t>SCHLEUNIGER C386</t>
        </is>
      </c>
      <c r="G97" s="41" t="n"/>
      <c r="H97" s="41" t="n"/>
      <c r="I97" s="41" t="n"/>
      <c r="J97" s="41" t="n"/>
      <c r="K97" s="41" t="n"/>
      <c r="L97" s="41" t="n"/>
      <c r="M97" s="41" t="inlineStr">
        <is>
          <t>In progress</t>
        </is>
      </c>
      <c r="N97" s="41" t="n"/>
    </row>
    <row r="98">
      <c r="A98" s="80" t="n">
        <v>46053</v>
      </c>
      <c r="B98" s="41" t="n"/>
      <c r="C98" s="41" t="n"/>
      <c r="D98" s="41" t="inlineStr">
        <is>
          <t>A</t>
        </is>
      </c>
      <c r="E98" s="41" t="n"/>
      <c r="F98" s="41" t="inlineStr">
        <is>
          <t>PRESS-12</t>
        </is>
      </c>
      <c r="G98" s="41" t="n"/>
      <c r="H98" s="41" t="n"/>
      <c r="I98" s="41" t="n"/>
      <c r="J98" s="41" t="n"/>
      <c r="K98" s="41" t="n"/>
      <c r="L98" s="41" t="n"/>
      <c r="M98" s="41" t="inlineStr">
        <is>
          <t>In progress</t>
        </is>
      </c>
      <c r="N98" s="41" t="n"/>
    </row>
    <row r="99">
      <c r="A99" s="80" t="n">
        <v>46185</v>
      </c>
      <c r="B99" s="41" t="n"/>
      <c r="C99" s="41" t="n"/>
      <c r="D99" s="41" t="inlineStr">
        <is>
          <t>B</t>
        </is>
      </c>
      <c r="E99" s="41" t="n"/>
      <c r="F99" s="41" t="inlineStr">
        <is>
          <t>THOR-05</t>
        </is>
      </c>
      <c r="G99" s="41" t="n"/>
      <c r="H99" s="41" t="n"/>
      <c r="I99" s="41" t="n"/>
      <c r="J99" s="41" t="n"/>
      <c r="K99" s="41" t="n"/>
      <c r="L99" s="41" t="n"/>
      <c r="M99" s="41" t="inlineStr">
        <is>
          <t>In progress</t>
        </is>
      </c>
      <c r="N99" s="41" t="n"/>
    </row>
    <row r="100">
      <c r="A100" s="80" t="n">
        <v>46159</v>
      </c>
      <c r="B100" s="41" t="n"/>
      <c r="C100" s="41" t="n"/>
      <c r="D100" s="41" t="inlineStr">
        <is>
          <t>C</t>
        </is>
      </c>
      <c r="E100" s="41" t="n"/>
      <c r="F100" s="41" t="inlineStr">
        <is>
          <t>THOR-05</t>
        </is>
      </c>
      <c r="G100" s="41" t="n"/>
      <c r="H100" s="41" t="n"/>
      <c r="I100" s="41" t="n"/>
      <c r="J100" s="41" t="n"/>
      <c r="K100" s="41" t="n"/>
      <c r="L100" s="41" t="n"/>
      <c r="M100" s="41" t="inlineStr">
        <is>
          <t>In progress</t>
        </is>
      </c>
      <c r="N100" s="41" t="n"/>
    </row>
    <row r="101">
      <c r="A101" s="80" t="n">
        <v>46107</v>
      </c>
      <c r="B101" s="41" t="n"/>
      <c r="C101" s="41" t="n"/>
      <c r="D101" s="41" t="inlineStr">
        <is>
          <t>C</t>
        </is>
      </c>
      <c r="E101" s="41" t="n"/>
      <c r="F101" s="41" t="inlineStr">
        <is>
          <t>THOR-05</t>
        </is>
      </c>
      <c r="G101" s="41" t="n"/>
      <c r="H101" s="41" t="n"/>
      <c r="I101" s="41" t="n"/>
      <c r="J101" s="41" t="n"/>
      <c r="K101" s="41" t="n"/>
      <c r="L101" s="41" t="n"/>
      <c r="M101" s="41" t="inlineStr">
        <is>
          <t>Closed</t>
        </is>
      </c>
      <c r="N101" s="41" t="n"/>
    </row>
    <row r="102">
      <c r="A102" s="80" t="n">
        <v>46047</v>
      </c>
      <c r="B102" s="41" t="n"/>
      <c r="C102" s="41" t="n"/>
      <c r="D102" s="41" t="inlineStr">
        <is>
          <t>A</t>
        </is>
      </c>
      <c r="E102" s="41" t="n"/>
      <c r="F102" s="41" t="inlineStr">
        <is>
          <t>CRIMP CENTER 02</t>
        </is>
      </c>
      <c r="G102" s="41" t="n"/>
      <c r="H102" s="41" t="n"/>
      <c r="I102" s="41" t="n"/>
      <c r="J102" s="41" t="n"/>
      <c r="K102" s="41" t="n"/>
      <c r="L102" s="41" t="n"/>
      <c r="M102" s="41" t="inlineStr">
        <is>
          <t>In progress</t>
        </is>
      </c>
      <c r="N102" s="41" t="n"/>
    </row>
    <row r="103">
      <c r="A103" s="80" t="n">
        <v>46109</v>
      </c>
      <c r="B103" s="41" t="n"/>
      <c r="C103" s="41" t="n"/>
      <c r="D103" s="41" t="inlineStr">
        <is>
          <t>B</t>
        </is>
      </c>
      <c r="E103" s="41" t="n"/>
      <c r="F103" s="41" t="inlineStr">
        <is>
          <t>PRESS-12</t>
        </is>
      </c>
      <c r="G103" s="41" t="n"/>
      <c r="H103" s="41" t="n"/>
      <c r="I103" s="41" t="n"/>
      <c r="J103" s="41" t="n"/>
      <c r="K103" s="41" t="n"/>
      <c r="L103" s="41" t="n"/>
      <c r="M103" s="41" t="inlineStr">
        <is>
          <t>Closed</t>
        </is>
      </c>
      <c r="N103" s="41" t="n"/>
    </row>
    <row r="104">
      <c r="A104" s="80" t="n">
        <v>46078</v>
      </c>
      <c r="B104" s="41" t="n"/>
      <c r="C104" s="41" t="n"/>
      <c r="D104" s="41" t="inlineStr">
        <is>
          <t>A</t>
        </is>
      </c>
      <c r="E104" s="41" t="n"/>
      <c r="F104" s="41" t="inlineStr">
        <is>
          <t>CRIMP CENTER 02</t>
        </is>
      </c>
      <c r="G104" s="41" t="n"/>
      <c r="H104" s="41" t="n"/>
      <c r="I104" s="41" t="n"/>
      <c r="J104" s="41" t="n"/>
      <c r="K104" s="41" t="n"/>
      <c r="L104" s="41" t="n"/>
      <c r="M104" s="41" t="inlineStr">
        <is>
          <t>In progress</t>
        </is>
      </c>
      <c r="N104" s="41" t="n"/>
    </row>
    <row r="105">
      <c r="A105" s="80" t="n">
        <v>46181</v>
      </c>
      <c r="B105" s="41" t="n"/>
      <c r="C105" s="41" t="n"/>
      <c r="D105" s="41" t="inlineStr">
        <is>
          <t>A</t>
        </is>
      </c>
      <c r="E105" s="41" t="n"/>
      <c r="F105" s="41" t="inlineStr">
        <is>
          <t>SCHLEUNIGER C386</t>
        </is>
      </c>
      <c r="G105" s="41" t="n"/>
      <c r="H105" s="41" t="n"/>
      <c r="I105" s="41" t="n"/>
      <c r="J105" s="41" t="n"/>
      <c r="K105" s="41" t="n"/>
      <c r="L105" s="41" t="n"/>
      <c r="M105" s="41" t="inlineStr">
        <is>
          <t>Closed</t>
        </is>
      </c>
      <c r="N105" s="41" t="n"/>
    </row>
    <row r="106">
      <c r="A106" s="80" t="n">
        <v>46141</v>
      </c>
      <c r="B106" s="41" t="n"/>
      <c r="C106" s="41" t="n"/>
      <c r="D106" s="41" t="inlineStr">
        <is>
          <t>C</t>
        </is>
      </c>
      <c r="E106" s="41" t="n"/>
      <c r="F106" s="41" t="inlineStr">
        <is>
          <t>SCHLEUNIGER C386</t>
        </is>
      </c>
      <c r="G106" s="41" t="n"/>
      <c r="H106" s="41" t="n"/>
      <c r="I106" s="41" t="n"/>
      <c r="J106" s="41" t="n"/>
      <c r="K106" s="41" t="n"/>
      <c r="L106" s="41" t="n"/>
      <c r="M106" s="41" t="inlineStr">
        <is>
          <t>Closed</t>
        </is>
      </c>
      <c r="N106" s="41" t="n"/>
    </row>
    <row r="107">
      <c r="A107" s="80" t="n">
        <v>46024</v>
      </c>
      <c r="B107" s="41" t="n"/>
      <c r="C107" s="41" t="n"/>
      <c r="D107" s="41" t="inlineStr">
        <is>
          <t>C</t>
        </is>
      </c>
      <c r="E107" s="41" t="n"/>
      <c r="F107" s="41" t="inlineStr">
        <is>
          <t>SCHLEUNIGER C386</t>
        </is>
      </c>
      <c r="G107" s="41" t="n"/>
      <c r="H107" s="41" t="n"/>
      <c r="I107" s="41" t="n"/>
      <c r="J107" s="41" t="n"/>
      <c r="K107" s="41" t="n"/>
      <c r="L107" s="41" t="n"/>
      <c r="M107" s="41" t="inlineStr">
        <is>
          <t>Closed</t>
        </is>
      </c>
      <c r="N107" s="41" t="n"/>
    </row>
    <row r="108">
      <c r="A108" s="80" t="n">
        <v>46188</v>
      </c>
      <c r="B108" s="41" t="n"/>
      <c r="C108" s="41" t="n"/>
      <c r="D108" s="41" t="inlineStr">
        <is>
          <t>C</t>
        </is>
      </c>
      <c r="E108" s="41" t="n"/>
      <c r="F108" s="41" t="inlineStr">
        <is>
          <t>PRESS-12</t>
        </is>
      </c>
      <c r="G108" s="41" t="n"/>
      <c r="H108" s="41" t="n"/>
      <c r="I108" s="41" t="n"/>
      <c r="J108" s="41" t="n"/>
      <c r="K108" s="41" t="n"/>
      <c r="L108" s="41" t="n"/>
      <c r="M108" s="41" t="inlineStr">
        <is>
          <t>Closed</t>
        </is>
      </c>
      <c r="N108" s="41" t="n"/>
    </row>
    <row r="109">
      <c r="A109" s="80" t="n">
        <v>46063</v>
      </c>
      <c r="B109" s="41" t="n"/>
      <c r="C109" s="41" t="n"/>
      <c r="D109" s="41" t="inlineStr">
        <is>
          <t>C</t>
        </is>
      </c>
      <c r="E109" s="41" t="n"/>
      <c r="F109" s="41" t="inlineStr">
        <is>
          <t>KOMAX K355</t>
        </is>
      </c>
      <c r="G109" s="41" t="n"/>
      <c r="H109" s="41" t="n"/>
      <c r="I109" s="41" t="n"/>
      <c r="J109" s="41" t="n"/>
      <c r="K109" s="41" t="n"/>
      <c r="L109" s="41" t="n"/>
      <c r="M109" s="41" t="inlineStr">
        <is>
          <t>Closed</t>
        </is>
      </c>
      <c r="N109" s="41" t="n"/>
    </row>
    <row r="110">
      <c r="A110" s="80" t="n">
        <v>46055</v>
      </c>
      <c r="B110" s="41" t="n"/>
      <c r="C110" s="41" t="n"/>
      <c r="D110" s="41" t="inlineStr">
        <is>
          <t>A</t>
        </is>
      </c>
      <c r="E110" s="41" t="n"/>
      <c r="F110" s="41" t="inlineStr">
        <is>
          <t>SCHLEUNIGER C386</t>
        </is>
      </c>
      <c r="G110" s="41" t="n"/>
      <c r="H110" s="41" t="n"/>
      <c r="I110" s="41" t="n"/>
      <c r="J110" s="41" t="n"/>
      <c r="K110" s="41" t="n"/>
      <c r="L110" s="41" t="n"/>
      <c r="M110" s="41" t="inlineStr">
        <is>
          <t>In progress</t>
        </is>
      </c>
      <c r="N110" s="41" t="n"/>
    </row>
    <row r="111">
      <c r="A111" s="80" t="n">
        <v>46102</v>
      </c>
      <c r="B111" s="41" t="n"/>
      <c r="C111" s="41" t="n"/>
      <c r="D111" s="41" t="inlineStr">
        <is>
          <t>A</t>
        </is>
      </c>
      <c r="E111" s="41" t="n"/>
      <c r="F111" s="41" t="inlineStr">
        <is>
          <t>PRESS-12</t>
        </is>
      </c>
      <c r="G111" s="41" t="n"/>
      <c r="H111" s="41" t="n"/>
      <c r="I111" s="41" t="n"/>
      <c r="J111" s="41" t="n"/>
      <c r="K111" s="41" t="n"/>
      <c r="L111" s="41" t="n"/>
      <c r="M111" s="41" t="inlineStr">
        <is>
          <t>Open</t>
        </is>
      </c>
      <c r="N111" s="41" t="n"/>
    </row>
    <row r="112">
      <c r="A112" s="80" t="n">
        <v>46070</v>
      </c>
      <c r="B112" s="41" t="n"/>
      <c r="C112" s="41" t="n"/>
      <c r="D112" s="41" t="inlineStr">
        <is>
          <t>C</t>
        </is>
      </c>
      <c r="E112" s="41" t="n"/>
      <c r="F112" s="41" t="inlineStr">
        <is>
          <t>CRIMP CENTER 02</t>
        </is>
      </c>
      <c r="G112" s="41" t="n"/>
      <c r="H112" s="41" t="n"/>
      <c r="I112" s="41" t="n"/>
      <c r="J112" s="41" t="n"/>
      <c r="K112" s="41" t="n"/>
      <c r="L112" s="41" t="n"/>
      <c r="M112" s="41" t="inlineStr">
        <is>
          <t>Open</t>
        </is>
      </c>
      <c r="N112" s="41" t="n"/>
    </row>
    <row r="113">
      <c r="A113" s="80" t="n">
        <v>46047</v>
      </c>
      <c r="B113" s="41" t="n"/>
      <c r="C113" s="41" t="n"/>
      <c r="D113" s="41" t="inlineStr">
        <is>
          <t>B</t>
        </is>
      </c>
      <c r="E113" s="41" t="n"/>
      <c r="F113" s="41" t="inlineStr">
        <is>
          <t>THOR-05</t>
        </is>
      </c>
      <c r="G113" s="41" t="n"/>
      <c r="H113" s="41" t="n"/>
      <c r="I113" s="41" t="n"/>
      <c r="J113" s="41" t="n"/>
      <c r="K113" s="41" t="n"/>
      <c r="L113" s="41" t="n"/>
      <c r="M113" s="41" t="inlineStr">
        <is>
          <t>In progress</t>
        </is>
      </c>
      <c r="N113" s="41" t="n"/>
    </row>
    <row r="114">
      <c r="A114" s="80" t="n">
        <v>46121</v>
      </c>
      <c r="B114" s="41" t="n"/>
      <c r="C114" s="41" t="n"/>
      <c r="D114" s="41" t="inlineStr">
        <is>
          <t>A</t>
        </is>
      </c>
      <c r="E114" s="41" t="n"/>
      <c r="F114" s="41" t="inlineStr">
        <is>
          <t>THOR-05</t>
        </is>
      </c>
      <c r="G114" s="41" t="n"/>
      <c r="H114" s="41" t="n"/>
      <c r="I114" s="41" t="n"/>
      <c r="J114" s="41" t="n"/>
      <c r="K114" s="41" t="n"/>
      <c r="L114" s="41" t="n"/>
      <c r="M114" s="41" t="inlineStr">
        <is>
          <t>In progress</t>
        </is>
      </c>
      <c r="N114" s="41" t="n"/>
    </row>
    <row r="115">
      <c r="A115" s="80" t="n">
        <v>46095</v>
      </c>
      <c r="B115" s="41" t="n"/>
      <c r="C115" s="41" t="n"/>
      <c r="D115" s="41" t="inlineStr">
        <is>
          <t>A</t>
        </is>
      </c>
      <c r="E115" s="41" t="n"/>
      <c r="F115" s="41" t="inlineStr">
        <is>
          <t>SCHLEUNIGER C386</t>
        </is>
      </c>
      <c r="G115" s="41" t="n"/>
      <c r="H115" s="41" t="n"/>
      <c r="I115" s="41" t="n"/>
      <c r="J115" s="41" t="n"/>
      <c r="K115" s="41" t="n"/>
      <c r="L115" s="41" t="n"/>
      <c r="M115" s="41" t="inlineStr">
        <is>
          <t>In progress</t>
        </is>
      </c>
      <c r="N115" s="41" t="n"/>
    </row>
    <row r="116">
      <c r="A116" s="80" t="n">
        <v>46104</v>
      </c>
      <c r="B116" s="41" t="n"/>
      <c r="C116" s="41" t="n"/>
      <c r="D116" s="41" t="inlineStr">
        <is>
          <t>A</t>
        </is>
      </c>
      <c r="E116" s="41" t="n"/>
      <c r="F116" s="41" t="inlineStr">
        <is>
          <t>CRIMP CENTER 02</t>
        </is>
      </c>
      <c r="G116" s="41" t="n"/>
      <c r="H116" s="41" t="n"/>
      <c r="I116" s="41" t="n"/>
      <c r="J116" s="41" t="n"/>
      <c r="K116" s="41" t="n"/>
      <c r="L116" s="41" t="n"/>
      <c r="M116" s="41" t="inlineStr">
        <is>
          <t>Open</t>
        </is>
      </c>
      <c r="N116" s="41" t="n"/>
    </row>
    <row r="117">
      <c r="A117" s="80" t="n">
        <v>46198</v>
      </c>
      <c r="B117" s="41" t="n"/>
      <c r="C117" s="41" t="n"/>
      <c r="D117" s="41" t="inlineStr">
        <is>
          <t>A</t>
        </is>
      </c>
      <c r="E117" s="41" t="n"/>
      <c r="F117" s="41" t="inlineStr">
        <is>
          <t>THOR-05</t>
        </is>
      </c>
      <c r="G117" s="41" t="n"/>
      <c r="H117" s="41" t="n"/>
      <c r="I117" s="41" t="n"/>
      <c r="J117" s="41" t="n"/>
      <c r="K117" s="41" t="n"/>
      <c r="L117" s="41" t="n"/>
      <c r="M117" s="41" t="inlineStr">
        <is>
          <t>In progress</t>
        </is>
      </c>
      <c r="N117" s="41" t="n"/>
    </row>
    <row r="118">
      <c r="A118" s="80" t="n">
        <v>46091</v>
      </c>
      <c r="B118" s="41" t="n"/>
      <c r="C118" s="41" t="n"/>
      <c r="D118" s="41" t="inlineStr">
        <is>
          <t>B</t>
        </is>
      </c>
      <c r="E118" s="41" t="n"/>
      <c r="F118" s="41" t="inlineStr">
        <is>
          <t>CRIMP CENTER 02</t>
        </is>
      </c>
      <c r="G118" s="41" t="n"/>
      <c r="H118" s="41" t="n"/>
      <c r="I118" s="41" t="n"/>
      <c r="J118" s="41" t="n"/>
      <c r="K118" s="41" t="n"/>
      <c r="L118" s="41" t="n"/>
      <c r="M118" s="41" t="inlineStr">
        <is>
          <t>Closed</t>
        </is>
      </c>
      <c r="N118" s="41" t="n"/>
    </row>
    <row r="119">
      <c r="A119" s="80" t="n">
        <v>46038</v>
      </c>
      <c r="B119" s="41" t="n"/>
      <c r="C119" s="41" t="n"/>
      <c r="D119" s="41" t="inlineStr">
        <is>
          <t>A</t>
        </is>
      </c>
      <c r="E119" s="41" t="n"/>
      <c r="F119" s="41" t="inlineStr">
        <is>
          <t>KOMAX K355</t>
        </is>
      </c>
      <c r="G119" s="41" t="n"/>
      <c r="H119" s="41" t="n"/>
      <c r="I119" s="41" t="n"/>
      <c r="J119" s="41" t="n"/>
      <c r="K119" s="41" t="n"/>
      <c r="L119" s="41" t="n"/>
      <c r="M119" s="41" t="inlineStr">
        <is>
          <t>Closed</t>
        </is>
      </c>
      <c r="N119" s="41" t="n"/>
    </row>
    <row r="120">
      <c r="A120" s="80" t="n">
        <v>46141</v>
      </c>
      <c r="B120" s="41" t="n"/>
      <c r="C120" s="41" t="n"/>
      <c r="D120" s="41" t="inlineStr">
        <is>
          <t>B</t>
        </is>
      </c>
      <c r="E120" s="41" t="n"/>
      <c r="F120" s="41" t="inlineStr">
        <is>
          <t>SCHLEUNIGER C386</t>
        </is>
      </c>
      <c r="G120" s="41" t="n"/>
      <c r="H120" s="41" t="n"/>
      <c r="I120" s="41" t="n"/>
      <c r="J120" s="41" t="n"/>
      <c r="K120" s="41" t="n"/>
      <c r="L120" s="41" t="n"/>
      <c r="M120" s="41" t="inlineStr">
        <is>
          <t>Open</t>
        </is>
      </c>
      <c r="N120" s="41" t="n"/>
    </row>
    <row r="121">
      <c r="A121" s="80" t="n">
        <v>46118</v>
      </c>
      <c r="B121" s="41" t="n"/>
      <c r="C121" s="41" t="n"/>
      <c r="D121" s="41" t="inlineStr">
        <is>
          <t>A</t>
        </is>
      </c>
      <c r="E121" s="41" t="n"/>
      <c r="F121" s="41" t="inlineStr">
        <is>
          <t>SCHLEUNIGER C386</t>
        </is>
      </c>
      <c r="G121" s="41" t="n"/>
      <c r="H121" s="41" t="n"/>
      <c r="I121" s="41" t="n"/>
      <c r="J121" s="41" t="n"/>
      <c r="K121" s="41" t="n"/>
      <c r="L121" s="41" t="n"/>
      <c r="M121" s="41" t="inlineStr">
        <is>
          <t>Closed</t>
        </is>
      </c>
      <c r="N121" s="41" t="n"/>
    </row>
    <row r="122">
      <c r="A122" s="80" t="n">
        <v>46132</v>
      </c>
      <c r="B122" s="41" t="n"/>
      <c r="C122" s="41" t="n"/>
      <c r="D122" s="41" t="inlineStr">
        <is>
          <t>C</t>
        </is>
      </c>
      <c r="E122" s="41" t="n"/>
      <c r="F122" s="41" t="inlineStr">
        <is>
          <t>SCHLEUNIGER C386</t>
        </is>
      </c>
      <c r="G122" s="41" t="n"/>
      <c r="H122" s="41" t="n"/>
      <c r="I122" s="41" t="n"/>
      <c r="J122" s="41" t="n"/>
      <c r="K122" s="41" t="n"/>
      <c r="L122" s="41" t="n"/>
      <c r="M122" s="41" t="inlineStr">
        <is>
          <t>In progress</t>
        </is>
      </c>
      <c r="N122" s="41" t="n"/>
    </row>
    <row r="123">
      <c r="A123" s="80" t="n">
        <v>46183</v>
      </c>
      <c r="B123" s="41" t="n"/>
      <c r="C123" s="41" t="n"/>
      <c r="D123" s="41" t="inlineStr">
        <is>
          <t>A</t>
        </is>
      </c>
      <c r="E123" s="41" t="n"/>
      <c r="F123" s="41" t="inlineStr">
        <is>
          <t>CRIMP CENTER 02</t>
        </is>
      </c>
      <c r="G123" s="41" t="n"/>
      <c r="H123" s="41" t="n"/>
      <c r="I123" s="41" t="n"/>
      <c r="J123" s="41" t="n"/>
      <c r="K123" s="41" t="n"/>
      <c r="L123" s="41" t="n"/>
      <c r="M123" s="41" t="inlineStr">
        <is>
          <t>Open</t>
        </is>
      </c>
      <c r="N123" s="41" t="n"/>
    </row>
    <row r="124">
      <c r="A124" s="80" t="n">
        <v>46142</v>
      </c>
      <c r="B124" s="41" t="n"/>
      <c r="C124" s="41" t="n"/>
      <c r="D124" s="41" t="inlineStr">
        <is>
          <t>B</t>
        </is>
      </c>
      <c r="E124" s="41" t="n"/>
      <c r="F124" s="41" t="inlineStr">
        <is>
          <t>SCHLEUNIGER C386</t>
        </is>
      </c>
      <c r="G124" s="41" t="n"/>
      <c r="H124" s="41" t="n"/>
      <c r="I124" s="41" t="n"/>
      <c r="J124" s="41" t="n"/>
      <c r="K124" s="41" t="n"/>
      <c r="L124" s="41" t="n"/>
      <c r="M124" s="41" t="inlineStr">
        <is>
          <t>Open</t>
        </is>
      </c>
      <c r="N124" s="41" t="n"/>
    </row>
    <row r="125">
      <c r="A125" s="80" t="n">
        <v>46055</v>
      </c>
      <c r="B125" s="41" t="n"/>
      <c r="C125" s="41" t="n"/>
      <c r="D125" s="41" t="inlineStr">
        <is>
          <t>C</t>
        </is>
      </c>
      <c r="E125" s="41" t="n"/>
      <c r="F125" s="41" t="inlineStr">
        <is>
          <t>CRIMP CENTER 02</t>
        </is>
      </c>
      <c r="G125" s="41" t="n"/>
      <c r="H125" s="41" t="n"/>
      <c r="I125" s="41" t="n"/>
      <c r="J125" s="41" t="n"/>
      <c r="K125" s="41" t="n"/>
      <c r="L125" s="41" t="n"/>
      <c r="M125" s="41" t="inlineStr">
        <is>
          <t>Closed</t>
        </is>
      </c>
      <c r="N125" s="41" t="n"/>
    </row>
    <row r="126">
      <c r="A126" s="80" t="n">
        <v>46110</v>
      </c>
      <c r="B126" s="41" t="n"/>
      <c r="C126" s="41" t="n"/>
      <c r="D126" s="41" t="inlineStr">
        <is>
          <t>A</t>
        </is>
      </c>
      <c r="E126" s="41" t="n"/>
      <c r="F126" s="41" t="inlineStr">
        <is>
          <t>PRESS-12</t>
        </is>
      </c>
      <c r="G126" s="41" t="n"/>
      <c r="H126" s="41" t="n"/>
      <c r="I126" s="41" t="n"/>
      <c r="J126" s="41" t="n"/>
      <c r="K126" s="41" t="n"/>
      <c r="L126" s="41" t="n"/>
      <c r="M126" s="41" t="n"/>
      <c r="N126" s="41" t="n"/>
    </row>
    <row r="127">
      <c r="A127" s="80" t="n">
        <v>46065</v>
      </c>
      <c r="B127" s="41" t="n"/>
      <c r="C127" s="41" t="n"/>
      <c r="D127" s="41" t="inlineStr">
        <is>
          <t>B</t>
        </is>
      </c>
      <c r="E127" s="41" t="n"/>
      <c r="F127" s="41" t="inlineStr">
        <is>
          <t>CRIMP CENTER 02</t>
        </is>
      </c>
      <c r="G127" s="41" t="n"/>
      <c r="H127" s="41" t="n"/>
      <c r="I127" s="41" t="n"/>
      <c r="J127" s="41" t="n"/>
      <c r="K127" s="41" t="n"/>
      <c r="L127" s="41" t="n"/>
      <c r="M127" s="41" t="inlineStr">
        <is>
          <t>Closed</t>
        </is>
      </c>
      <c r="N127" s="41" t="n"/>
    </row>
    <row r="128">
      <c r="A128" s="80" t="n">
        <v>46056</v>
      </c>
      <c r="B128" s="41" t="n"/>
      <c r="C128" s="41" t="n"/>
      <c r="D128" s="41" t="inlineStr">
        <is>
          <t>B</t>
        </is>
      </c>
      <c r="E128" s="41" t="n"/>
      <c r="F128" s="41" t="inlineStr">
        <is>
          <t>PRESS-12</t>
        </is>
      </c>
      <c r="G128" s="41" t="n"/>
      <c r="H128" s="41" t="n"/>
      <c r="I128" s="41" t="n"/>
      <c r="J128" s="41" t="n"/>
      <c r="K128" s="41" t="n"/>
      <c r="L128" s="41" t="n"/>
      <c r="M128" s="41" t="inlineStr">
        <is>
          <t>Open</t>
        </is>
      </c>
      <c r="N128" s="41" t="n"/>
    </row>
    <row r="129">
      <c r="A129" s="80" t="n">
        <v>46108</v>
      </c>
      <c r="B129" s="41" t="n"/>
      <c r="C129" s="41" t="n"/>
      <c r="D129" s="41" t="inlineStr">
        <is>
          <t>A</t>
        </is>
      </c>
      <c r="E129" s="41" t="n"/>
      <c r="F129" s="41" t="inlineStr">
        <is>
          <t>THOR-05</t>
        </is>
      </c>
      <c r="G129" s="41" t="n"/>
      <c r="H129" s="41" t="n"/>
      <c r="I129" s="41" t="n"/>
      <c r="J129" s="41" t="n"/>
      <c r="K129" s="41" t="n"/>
      <c r="L129" s="41" t="n"/>
      <c r="M129" s="41" t="inlineStr">
        <is>
          <t>Open</t>
        </is>
      </c>
      <c r="N129" s="41" t="n"/>
    </row>
    <row r="130">
      <c r="A130" s="80" t="n">
        <v>46039</v>
      </c>
      <c r="B130" s="41" t="n"/>
      <c r="C130" s="41" t="n"/>
      <c r="D130" s="41" t="inlineStr">
        <is>
          <t>C</t>
        </is>
      </c>
      <c r="E130" s="41" t="n"/>
      <c r="F130" s="41" t="inlineStr">
        <is>
          <t>THOR-05</t>
        </is>
      </c>
      <c r="G130" s="41" t="n"/>
      <c r="H130" s="41" t="n"/>
      <c r="I130" s="41" t="n"/>
      <c r="J130" s="41" t="n"/>
      <c r="K130" s="41" t="n"/>
      <c r="L130" s="41" t="n"/>
      <c r="M130" s="41" t="inlineStr">
        <is>
          <t>Closed</t>
        </is>
      </c>
      <c r="N130" s="41" t="n"/>
    </row>
    <row r="131">
      <c r="A131" s="80" t="n">
        <v>46073</v>
      </c>
      <c r="B131" s="41" t="n"/>
      <c r="C131" s="41" t="n"/>
      <c r="D131" s="41" t="inlineStr">
        <is>
          <t>B</t>
        </is>
      </c>
      <c r="E131" s="41" t="n"/>
      <c r="F131" s="41" t="inlineStr">
        <is>
          <t>SCHLEUNIGER C386</t>
        </is>
      </c>
      <c r="G131" s="41" t="n"/>
      <c r="H131" s="41" t="n"/>
      <c r="I131" s="41" t="n"/>
      <c r="J131" s="41" t="n"/>
      <c r="K131" s="41" t="n"/>
      <c r="L131" s="41" t="n"/>
      <c r="M131" s="41" t="inlineStr">
        <is>
          <t>In progress</t>
        </is>
      </c>
      <c r="N131" s="41" t="n"/>
    </row>
    <row r="132">
      <c r="A132" s="80" t="n">
        <v>46092</v>
      </c>
      <c r="B132" s="41" t="n"/>
      <c r="C132" s="41" t="n"/>
      <c r="D132" s="41" t="inlineStr">
        <is>
          <t>B</t>
        </is>
      </c>
      <c r="E132" s="41" t="n"/>
      <c r="F132" s="41" t="inlineStr">
        <is>
          <t>KOMAX K355</t>
        </is>
      </c>
      <c r="G132" s="41" t="n"/>
      <c r="H132" s="41" t="n"/>
      <c r="I132" s="41" t="n"/>
      <c r="J132" s="41" t="n"/>
      <c r="K132" s="41" t="n"/>
      <c r="L132" s="41" t="n"/>
      <c r="M132" s="41" t="inlineStr">
        <is>
          <t>Closed</t>
        </is>
      </c>
      <c r="N132" s="41" t="n"/>
    </row>
    <row r="133">
      <c r="A133" s="80" t="n">
        <v>46191</v>
      </c>
      <c r="B133" s="41" t="n"/>
      <c r="C133" s="41" t="n"/>
      <c r="D133" s="41" t="inlineStr">
        <is>
          <t>B</t>
        </is>
      </c>
      <c r="E133" s="41" t="n"/>
      <c r="F133" s="41" t="inlineStr">
        <is>
          <t>SCHLEUNIGER C386</t>
        </is>
      </c>
      <c r="G133" s="41" t="n"/>
      <c r="H133" s="41" t="n"/>
      <c r="I133" s="41" t="n"/>
      <c r="J133" s="41" t="n"/>
      <c r="K133" s="41" t="n"/>
      <c r="L133" s="41" t="n"/>
      <c r="M133" s="41" t="inlineStr">
        <is>
          <t>Closed</t>
        </is>
      </c>
      <c r="N133" s="41" t="n"/>
    </row>
    <row r="134">
      <c r="A134" s="80" t="n">
        <v>46111</v>
      </c>
      <c r="B134" s="41" t="n"/>
      <c r="C134" s="41" t="n"/>
      <c r="D134" s="41" t="inlineStr">
        <is>
          <t>A</t>
        </is>
      </c>
      <c r="E134" s="41" t="n"/>
      <c r="F134" s="41" t="inlineStr">
        <is>
          <t>CRIMP CENTER 02</t>
        </is>
      </c>
      <c r="G134" s="41" t="n"/>
      <c r="H134" s="41" t="n"/>
      <c r="I134" s="41" t="n"/>
      <c r="J134" s="41" t="n"/>
      <c r="K134" s="41" t="n"/>
      <c r="L134" s="41" t="n"/>
      <c r="M134" s="41" t="inlineStr">
        <is>
          <t>Open</t>
        </is>
      </c>
      <c r="N134" s="41" t="n"/>
    </row>
    <row r="135">
      <c r="A135" s="80" t="n">
        <v>46026</v>
      </c>
      <c r="B135" s="41" t="n"/>
      <c r="C135" s="41" t="n"/>
      <c r="D135" s="41" t="inlineStr">
        <is>
          <t>C</t>
        </is>
      </c>
      <c r="E135" s="41" t="n"/>
      <c r="F135" s="41" t="inlineStr">
        <is>
          <t>PRESS-12</t>
        </is>
      </c>
      <c r="G135" s="41" t="n"/>
      <c r="H135" s="41" t="n"/>
      <c r="I135" s="41" t="n"/>
      <c r="J135" s="41" t="n"/>
      <c r="K135" s="41" t="n"/>
      <c r="L135" s="41" t="n"/>
      <c r="M135" s="41" t="inlineStr">
        <is>
          <t>Closed</t>
        </is>
      </c>
      <c r="N135" s="41" t="n"/>
    </row>
    <row r="136">
      <c r="A136" s="80" t="n">
        <v>46100</v>
      </c>
      <c r="B136" s="41" t="n"/>
      <c r="C136" s="41" t="n"/>
      <c r="D136" s="41" t="inlineStr">
        <is>
          <t>A</t>
        </is>
      </c>
      <c r="E136" s="41" t="n"/>
      <c r="F136" s="41" t="inlineStr">
        <is>
          <t>KOMAX K355</t>
        </is>
      </c>
      <c r="G136" s="41" t="n"/>
      <c r="H136" s="41" t="n"/>
      <c r="I136" s="41" t="n"/>
      <c r="J136" s="41" t="n"/>
      <c r="K136" s="41" t="n"/>
      <c r="L136" s="41" t="n"/>
      <c r="M136" s="41" t="inlineStr">
        <is>
          <t>Closed</t>
        </is>
      </c>
      <c r="N136" s="41" t="n"/>
    </row>
    <row r="137">
      <c r="A137" s="80" t="n">
        <v>46173</v>
      </c>
      <c r="B137" s="41" t="n"/>
      <c r="C137" s="41" t="n"/>
      <c r="D137" s="41" t="inlineStr">
        <is>
          <t>B</t>
        </is>
      </c>
      <c r="E137" s="41" t="n"/>
      <c r="F137" s="41" t="inlineStr">
        <is>
          <t>THOR-05</t>
        </is>
      </c>
      <c r="G137" s="41" t="n"/>
      <c r="H137" s="41" t="n"/>
      <c r="I137" s="41" t="n"/>
      <c r="J137" s="41" t="n"/>
      <c r="K137" s="41" t="n"/>
      <c r="L137" s="41" t="n"/>
      <c r="M137" s="41" t="inlineStr">
        <is>
          <t>Open</t>
        </is>
      </c>
      <c r="N137" s="41" t="n"/>
    </row>
    <row r="138">
      <c r="A138" s="80" t="n">
        <v>46191</v>
      </c>
      <c r="B138" s="41" t="n"/>
      <c r="C138" s="41" t="n"/>
      <c r="D138" s="41" t="inlineStr">
        <is>
          <t>C</t>
        </is>
      </c>
      <c r="E138" s="41" t="n"/>
      <c r="F138" s="41" t="inlineStr">
        <is>
          <t>THOR-05</t>
        </is>
      </c>
      <c r="G138" s="41" t="n"/>
      <c r="H138" s="41" t="n"/>
      <c r="I138" s="41" t="n"/>
      <c r="J138" s="41" t="n"/>
      <c r="K138" s="41" t="n"/>
      <c r="L138" s="41" t="n"/>
      <c r="M138" s="41" t="inlineStr">
        <is>
          <t>In progress</t>
        </is>
      </c>
      <c r="N138" s="41" t="n"/>
    </row>
    <row r="139">
      <c r="A139" s="80" t="n">
        <v>46074</v>
      </c>
      <c r="B139" s="41" t="n"/>
      <c r="C139" s="41" t="n"/>
      <c r="D139" s="41" t="inlineStr">
        <is>
          <t>A</t>
        </is>
      </c>
      <c r="E139" s="41" t="n"/>
      <c r="F139" s="41" t="inlineStr">
        <is>
          <t>KOMAX K355</t>
        </is>
      </c>
      <c r="G139" s="41" t="n"/>
      <c r="H139" s="41" t="n"/>
      <c r="I139" s="41" t="n"/>
      <c r="J139" s="41" t="n"/>
      <c r="K139" s="41" t="n"/>
      <c r="L139" s="41" t="n"/>
      <c r="M139" s="41" t="inlineStr">
        <is>
          <t>Closed</t>
        </is>
      </c>
      <c r="N139" s="41" t="n"/>
    </row>
    <row r="140">
      <c r="A140" s="80" t="n">
        <v>46155</v>
      </c>
      <c r="B140" s="41" t="n"/>
      <c r="C140" s="41" t="n"/>
      <c r="D140" s="41" t="inlineStr">
        <is>
          <t>C</t>
        </is>
      </c>
      <c r="E140" s="41" t="n"/>
      <c r="F140" s="41" t="inlineStr">
        <is>
          <t>THOR-05</t>
        </is>
      </c>
      <c r="G140" s="41" t="n"/>
      <c r="H140" s="41" t="n"/>
      <c r="I140" s="41" t="n"/>
      <c r="J140" s="41" t="n"/>
      <c r="K140" s="41" t="n"/>
      <c r="L140" s="41" t="n"/>
      <c r="M140" s="41" t="inlineStr">
        <is>
          <t>Closed</t>
        </is>
      </c>
      <c r="N140" s="41" t="n"/>
    </row>
    <row r="141">
      <c r="A141" s="80" t="n">
        <v>46100</v>
      </c>
      <c r="B141" s="41" t="n"/>
      <c r="C141" s="41" t="n"/>
      <c r="D141" s="41" t="inlineStr">
        <is>
          <t>A</t>
        </is>
      </c>
      <c r="E141" s="41" t="n"/>
      <c r="F141" s="41" t="inlineStr">
        <is>
          <t>PRESS-12</t>
        </is>
      </c>
      <c r="G141" s="41" t="n"/>
      <c r="H141" s="41" t="n"/>
      <c r="I141" s="41" t="n"/>
      <c r="J141" s="41" t="n"/>
      <c r="K141" s="41" t="n"/>
      <c r="L141" s="41" t="n"/>
      <c r="M141" s="41" t="inlineStr">
        <is>
          <t>Open</t>
        </is>
      </c>
      <c r="N141" s="41" t="n"/>
    </row>
    <row r="142">
      <c r="A142" s="80" t="n">
        <v>46171</v>
      </c>
      <c r="B142" s="41" t="n"/>
      <c r="C142" s="41" t="n"/>
      <c r="D142" s="41" t="inlineStr">
        <is>
          <t>B</t>
        </is>
      </c>
      <c r="E142" s="41" t="n"/>
      <c r="F142" s="41" t="inlineStr">
        <is>
          <t>KOMAX K355</t>
        </is>
      </c>
      <c r="G142" s="41" t="n"/>
      <c r="H142" s="41" t="n"/>
      <c r="I142" s="41" t="n"/>
      <c r="J142" s="41" t="n"/>
      <c r="K142" s="41" t="n"/>
      <c r="L142" s="41" t="n"/>
      <c r="M142" s="41" t="inlineStr">
        <is>
          <t>Closed</t>
        </is>
      </c>
      <c r="N142" s="41" t="n"/>
    </row>
    <row r="143">
      <c r="A143" s="80" t="n">
        <v>46078</v>
      </c>
      <c r="B143" s="41" t="n"/>
      <c r="C143" s="41" t="n"/>
      <c r="D143" s="41" t="inlineStr">
        <is>
          <t>B</t>
        </is>
      </c>
      <c r="E143" s="41" t="n"/>
      <c r="F143" s="41" t="inlineStr">
        <is>
          <t>KOMAX K355</t>
        </is>
      </c>
      <c r="G143" s="41" t="n"/>
      <c r="H143" s="41" t="n"/>
      <c r="I143" s="41" t="n"/>
      <c r="J143" s="41" t="n"/>
      <c r="K143" s="41" t="n"/>
      <c r="L143" s="41" t="n"/>
      <c r="M143" s="41" t="inlineStr">
        <is>
          <t>Open</t>
        </is>
      </c>
      <c r="N143" s="41" t="n"/>
    </row>
    <row r="144">
      <c r="A144" s="80" t="n">
        <v>46074</v>
      </c>
      <c r="B144" s="41" t="n"/>
      <c r="C144" s="41" t="n"/>
      <c r="D144" s="41" t="inlineStr">
        <is>
          <t>A</t>
        </is>
      </c>
      <c r="E144" s="41" t="n"/>
      <c r="F144" s="41" t="inlineStr">
        <is>
          <t>KOMAX K355</t>
        </is>
      </c>
      <c r="G144" s="41" t="n"/>
      <c r="H144" s="41" t="n"/>
      <c r="I144" s="41" t="n"/>
      <c r="J144" s="41" t="n"/>
      <c r="K144" s="41" t="n"/>
      <c r="L144" s="41" t="n"/>
      <c r="M144" s="41" t="inlineStr">
        <is>
          <t>Open</t>
        </is>
      </c>
      <c r="N144" s="41" t="n"/>
    </row>
    <row r="145">
      <c r="A145" s="80" t="n">
        <v>46064</v>
      </c>
      <c r="B145" s="41" t="n"/>
      <c r="C145" s="41" t="n"/>
      <c r="D145" s="41" t="inlineStr">
        <is>
          <t>B</t>
        </is>
      </c>
      <c r="E145" s="41" t="n"/>
      <c r="F145" s="41" t="inlineStr">
        <is>
          <t>PRESS-12</t>
        </is>
      </c>
      <c r="G145" s="41" t="n"/>
      <c r="H145" s="41" t="n"/>
      <c r="I145" s="41" t="n"/>
      <c r="J145" s="41" t="n"/>
      <c r="K145" s="41" t="n"/>
      <c r="L145" s="41" t="n"/>
      <c r="M145" s="41" t="inlineStr">
        <is>
          <t>Open</t>
        </is>
      </c>
      <c r="N145" s="41" t="n"/>
    </row>
    <row r="146">
      <c r="A146" s="80" t="n">
        <v>46040</v>
      </c>
      <c r="B146" s="41" t="n"/>
      <c r="C146" s="41" t="n"/>
      <c r="D146" s="41" t="inlineStr">
        <is>
          <t>A</t>
        </is>
      </c>
      <c r="E146" s="41" t="n"/>
      <c r="F146" s="41" t="inlineStr">
        <is>
          <t>SCHLEUNIGER C386</t>
        </is>
      </c>
      <c r="G146" s="41" t="n"/>
      <c r="H146" s="41" t="n"/>
      <c r="I146" s="41" t="n"/>
      <c r="J146" s="41" t="n"/>
      <c r="K146" s="41" t="n"/>
      <c r="L146" s="41" t="n"/>
      <c r="M146" s="41" t="inlineStr">
        <is>
          <t>Closed</t>
        </is>
      </c>
      <c r="N146" s="41" t="n"/>
    </row>
    <row r="147">
      <c r="A147" s="80" t="n">
        <v>46188</v>
      </c>
      <c r="B147" s="41" t="n"/>
      <c r="C147" s="41" t="n"/>
      <c r="D147" s="41" t="inlineStr">
        <is>
          <t>C</t>
        </is>
      </c>
      <c r="E147" s="41" t="n"/>
      <c r="F147" s="41" t="inlineStr">
        <is>
          <t>PRESS-12</t>
        </is>
      </c>
      <c r="G147" s="41" t="n"/>
      <c r="H147" s="41" t="n"/>
      <c r="I147" s="41" t="n"/>
      <c r="J147" s="41" t="n"/>
      <c r="K147" s="41" t="n"/>
      <c r="L147" s="41" t="n"/>
      <c r="M147" s="41" t="inlineStr">
        <is>
          <t>Open</t>
        </is>
      </c>
      <c r="N147" s="41" t="n"/>
    </row>
    <row r="148">
      <c r="A148" s="80" t="n">
        <v>46148</v>
      </c>
      <c r="B148" s="41" t="n"/>
      <c r="C148" s="41" t="n"/>
      <c r="D148" s="41" t="inlineStr">
        <is>
          <t>B</t>
        </is>
      </c>
      <c r="E148" s="41" t="n"/>
      <c r="F148" s="41" t="inlineStr">
        <is>
          <t>THOR-05</t>
        </is>
      </c>
      <c r="G148" s="41" t="n"/>
      <c r="H148" s="41" t="n"/>
      <c r="I148" s="41" t="n"/>
      <c r="J148" s="41" t="n"/>
      <c r="K148" s="41" t="n"/>
      <c r="L148" s="41" t="n"/>
      <c r="M148" s="41" t="inlineStr">
        <is>
          <t>Open</t>
        </is>
      </c>
      <c r="N148" s="41" t="n"/>
    </row>
    <row r="149">
      <c r="A149" s="80" t="n">
        <v>46175</v>
      </c>
      <c r="B149" s="41" t="n"/>
      <c r="C149" s="41" t="n"/>
      <c r="D149" s="41" t="inlineStr">
        <is>
          <t>C</t>
        </is>
      </c>
      <c r="E149" s="41" t="n"/>
      <c r="F149" s="41" t="inlineStr">
        <is>
          <t>PRESS-12</t>
        </is>
      </c>
      <c r="G149" s="41" t="n"/>
      <c r="H149" s="41" t="n"/>
      <c r="I149" s="41" t="n"/>
      <c r="J149" s="41" t="n"/>
      <c r="K149" s="41" t="n"/>
      <c r="L149" s="41" t="n"/>
      <c r="M149" s="41" t="inlineStr">
        <is>
          <t>Open</t>
        </is>
      </c>
      <c r="N149" s="41" t="n"/>
    </row>
    <row r="150">
      <c r="A150" s="80" t="n">
        <v>46098</v>
      </c>
      <c r="B150" s="41" t="n"/>
      <c r="C150" s="41" t="n"/>
      <c r="D150" s="41" t="inlineStr">
        <is>
          <t>B</t>
        </is>
      </c>
      <c r="E150" s="41" t="n"/>
      <c r="F150" s="41" t="inlineStr">
        <is>
          <t>KOMAX K355</t>
        </is>
      </c>
      <c r="G150" s="41" t="n"/>
      <c r="H150" s="41" t="n"/>
      <c r="I150" s="41" t="n"/>
      <c r="J150" s="41" t="n"/>
      <c r="K150" s="41" t="n"/>
      <c r="L150" s="41" t="n"/>
      <c r="M150" s="41" t="inlineStr">
        <is>
          <t>In progress</t>
        </is>
      </c>
      <c r="N150" s="41" t="n"/>
    </row>
    <row r="151">
      <c r="A151" s="80" t="n">
        <v>46088</v>
      </c>
      <c r="B151" s="41" t="n"/>
      <c r="C151" s="41" t="n"/>
      <c r="D151" s="41" t="inlineStr">
        <is>
          <t>A</t>
        </is>
      </c>
      <c r="E151" s="41" t="n"/>
      <c r="F151" s="41" t="inlineStr">
        <is>
          <t>CRIMP CENTER 02</t>
        </is>
      </c>
      <c r="G151" s="41" t="n"/>
      <c r="H151" s="41" t="n"/>
      <c r="I151" s="41" t="n"/>
      <c r="J151" s="41" t="n"/>
      <c r="K151" s="41" t="n"/>
      <c r="L151" s="41" t="n"/>
      <c r="M151" s="41" t="inlineStr">
        <is>
          <t>Open</t>
        </is>
      </c>
      <c r="N151" s="41" t="n"/>
    </row>
    <row r="152">
      <c r="A152" s="80" t="n">
        <v>46030</v>
      </c>
      <c r="B152" s="41" t="n"/>
      <c r="C152" s="41" t="n"/>
      <c r="D152" s="41" t="inlineStr">
        <is>
          <t>B</t>
        </is>
      </c>
      <c r="E152" s="41" t="n"/>
      <c r="F152" s="41" t="inlineStr">
        <is>
          <t>PRESS-12</t>
        </is>
      </c>
      <c r="G152" s="41" t="n"/>
      <c r="H152" s="41" t="n"/>
      <c r="I152" s="41" t="n"/>
      <c r="J152" s="41" t="n"/>
      <c r="K152" s="41" t="n"/>
      <c r="L152" s="41" t="n"/>
      <c r="M152" s="41" t="inlineStr">
        <is>
          <t>Closed</t>
        </is>
      </c>
      <c r="N152" s="41" t="n"/>
    </row>
    <row r="153">
      <c r="A153" s="80" t="n">
        <v>46127</v>
      </c>
      <c r="B153" s="41" t="n"/>
      <c r="C153" s="41" t="n"/>
      <c r="D153" s="41" t="inlineStr">
        <is>
          <t>B</t>
        </is>
      </c>
      <c r="E153" s="41" t="n"/>
      <c r="F153" s="41" t="inlineStr">
        <is>
          <t>PRESS-12</t>
        </is>
      </c>
      <c r="G153" s="41" t="n"/>
      <c r="H153" s="41" t="n"/>
      <c r="I153" s="41" t="n"/>
      <c r="J153" s="41" t="n"/>
      <c r="K153" s="41" t="n"/>
      <c r="L153" s="41" t="n"/>
      <c r="M153" s="41" t="inlineStr">
        <is>
          <t>Open</t>
        </is>
      </c>
      <c r="N153" s="41" t="n"/>
    </row>
    <row r="154">
      <c r="A154" s="80" t="n">
        <v>46076</v>
      </c>
      <c r="B154" s="41" t="n"/>
      <c r="C154" s="41" t="n"/>
      <c r="D154" s="41" t="inlineStr">
        <is>
          <t>B</t>
        </is>
      </c>
      <c r="E154" s="41" t="n"/>
      <c r="F154" s="41" t="inlineStr">
        <is>
          <t>SCHLEUNIGER C386</t>
        </is>
      </c>
      <c r="G154" s="41" t="n"/>
      <c r="H154" s="41" t="n"/>
      <c r="I154" s="41" t="n"/>
      <c r="J154" s="41" t="n"/>
      <c r="K154" s="41" t="n"/>
      <c r="L154" s="41" t="n"/>
      <c r="M154" s="41" t="inlineStr">
        <is>
          <t>Open</t>
        </is>
      </c>
      <c r="N154" s="41" t="n"/>
    </row>
    <row r="155">
      <c r="A155" s="80" t="n">
        <v>46170</v>
      </c>
      <c r="B155" s="41" t="n"/>
      <c r="C155" s="41" t="n"/>
      <c r="D155" s="41" t="inlineStr">
        <is>
          <t>A</t>
        </is>
      </c>
      <c r="E155" s="41" t="n"/>
      <c r="F155" s="41" t="inlineStr">
        <is>
          <t>PRESS-12</t>
        </is>
      </c>
      <c r="G155" s="41" t="n"/>
      <c r="H155" s="41" t="n"/>
      <c r="I155" s="41" t="n"/>
      <c r="J155" s="41" t="n"/>
      <c r="K155" s="41" t="n"/>
      <c r="L155" s="41" t="n"/>
      <c r="M155" s="41" t="inlineStr">
        <is>
          <t>In progress</t>
        </is>
      </c>
      <c r="N155" s="41" t="n"/>
    </row>
    <row r="156">
      <c r="A156" s="80" t="n">
        <v>46063</v>
      </c>
      <c r="B156" s="41" t="n"/>
      <c r="C156" s="41" t="n"/>
      <c r="D156" s="41" t="inlineStr">
        <is>
          <t>C</t>
        </is>
      </c>
      <c r="E156" s="41" t="n"/>
      <c r="F156" s="41" t="inlineStr">
        <is>
          <t>KOMAX K355</t>
        </is>
      </c>
      <c r="G156" s="41" t="n"/>
      <c r="H156" s="41" t="n"/>
      <c r="I156" s="41" t="n"/>
      <c r="J156" s="41" t="n"/>
      <c r="K156" s="41" t="n"/>
      <c r="L156" s="41" t="n"/>
      <c r="M156" s="41" t="inlineStr">
        <is>
          <t>Closed</t>
        </is>
      </c>
      <c r="N156" s="41" t="n"/>
    </row>
    <row r="157">
      <c r="A157" s="80" t="n">
        <v>46150</v>
      </c>
      <c r="B157" s="41" t="n"/>
      <c r="C157" s="41" t="n"/>
      <c r="D157" s="41" t="inlineStr">
        <is>
          <t>A</t>
        </is>
      </c>
      <c r="E157" s="41" t="n"/>
      <c r="F157" s="41" t="inlineStr">
        <is>
          <t>CRIMP CENTER 02</t>
        </is>
      </c>
      <c r="G157" s="41" t="n"/>
      <c r="H157" s="41" t="n"/>
      <c r="I157" s="41" t="n"/>
      <c r="J157" s="41" t="n"/>
      <c r="K157" s="41" t="n"/>
      <c r="L157" s="41" t="n"/>
      <c r="M157" s="41" t="inlineStr">
        <is>
          <t>Open</t>
        </is>
      </c>
      <c r="N157" s="41" t="n"/>
    </row>
    <row r="158">
      <c r="A158" s="80" t="n">
        <v>46201</v>
      </c>
      <c r="B158" s="41" t="n"/>
      <c r="C158" s="41" t="n"/>
      <c r="D158" s="41" t="inlineStr">
        <is>
          <t>C</t>
        </is>
      </c>
      <c r="E158" s="41" t="n"/>
      <c r="F158" s="41" t="inlineStr">
        <is>
          <t>THOR-05</t>
        </is>
      </c>
      <c r="G158" s="41" t="n"/>
      <c r="H158" s="41" t="n"/>
      <c r="I158" s="41" t="n"/>
      <c r="J158" s="41" t="n"/>
      <c r="K158" s="41" t="n"/>
      <c r="L158" s="41" t="n"/>
      <c r="M158" s="41" t="inlineStr">
        <is>
          <t>Open</t>
        </is>
      </c>
      <c r="N158" s="41" t="n"/>
    </row>
    <row r="159">
      <c r="A159" s="80" t="n">
        <v>46091</v>
      </c>
      <c r="B159" s="41" t="n"/>
      <c r="C159" s="41" t="n"/>
      <c r="D159" s="41" t="inlineStr">
        <is>
          <t>B</t>
        </is>
      </c>
      <c r="E159" s="41" t="n"/>
      <c r="F159" s="41" t="inlineStr">
        <is>
          <t>KOMAX K355</t>
        </is>
      </c>
      <c r="G159" s="41" t="n"/>
      <c r="H159" s="41" t="n"/>
      <c r="I159" s="41" t="n"/>
      <c r="J159" s="41" t="n"/>
      <c r="K159" s="41" t="n"/>
      <c r="L159" s="41" t="n"/>
      <c r="M159" s="41" t="inlineStr">
        <is>
          <t>Open</t>
        </is>
      </c>
      <c r="N159" s="41" t="n"/>
    </row>
    <row r="160">
      <c r="A160" s="80" t="n">
        <v>46124</v>
      </c>
      <c r="B160" s="41" t="n"/>
      <c r="C160" s="41" t="n"/>
      <c r="D160" s="41" t="inlineStr">
        <is>
          <t>B</t>
        </is>
      </c>
      <c r="E160" s="41" t="n"/>
      <c r="F160" s="41" t="inlineStr">
        <is>
          <t>KOMAX K355</t>
        </is>
      </c>
      <c r="G160" s="41" t="n"/>
      <c r="H160" s="41" t="n"/>
      <c r="I160" s="41" t="n"/>
      <c r="J160" s="41" t="n"/>
      <c r="K160" s="41" t="n"/>
      <c r="L160" s="41" t="n"/>
      <c r="M160" s="41" t="inlineStr">
        <is>
          <t>Open</t>
        </is>
      </c>
      <c r="N160" s="41" t="n"/>
    </row>
    <row r="161">
      <c r="A161" s="80" t="n">
        <v>46082</v>
      </c>
      <c r="B161" s="41" t="n"/>
      <c r="C161" s="41" t="n"/>
      <c r="D161" s="41" t="inlineStr">
        <is>
          <t>A</t>
        </is>
      </c>
      <c r="E161" s="41" t="n"/>
      <c r="F161" s="41" t="inlineStr">
        <is>
          <t>THOR-05</t>
        </is>
      </c>
      <c r="G161" s="41" t="n"/>
      <c r="H161" s="41" t="n"/>
      <c r="I161" s="41" t="n"/>
      <c r="J161" s="41" t="n"/>
      <c r="K161" s="41" t="n"/>
      <c r="L161" s="41" t="n"/>
      <c r="M161" s="41" t="inlineStr">
        <is>
          <t>Closed</t>
        </is>
      </c>
      <c r="N161" s="41" t="n"/>
    </row>
    <row r="162">
      <c r="A162" s="80" t="n">
        <v>46116</v>
      </c>
      <c r="B162" s="41" t="n"/>
      <c r="C162" s="41" t="n"/>
      <c r="D162" s="41" t="inlineStr">
        <is>
          <t>A</t>
        </is>
      </c>
      <c r="E162" s="41" t="n"/>
      <c r="F162" s="41" t="inlineStr">
        <is>
          <t>KOMAX K355</t>
        </is>
      </c>
      <c r="G162" s="41" t="n"/>
      <c r="H162" s="41" t="n"/>
      <c r="I162" s="41" t="n"/>
      <c r="J162" s="41" t="n"/>
      <c r="K162" s="41" t="n"/>
      <c r="L162" s="41" t="n"/>
      <c r="M162" s="41" t="inlineStr">
        <is>
          <t>In progress</t>
        </is>
      </c>
      <c r="N162" s="41" t="n"/>
    </row>
    <row r="163">
      <c r="A163" s="80" t="n">
        <v>46201</v>
      </c>
      <c r="B163" s="41" t="n"/>
      <c r="C163" s="41" t="n"/>
      <c r="D163" s="41" t="inlineStr">
        <is>
          <t>C</t>
        </is>
      </c>
      <c r="E163" s="41" t="n"/>
      <c r="F163" s="41" t="inlineStr">
        <is>
          <t>KOMAX K355</t>
        </is>
      </c>
      <c r="G163" s="41" t="n"/>
      <c r="H163" s="41" t="n"/>
      <c r="I163" s="41" t="n"/>
      <c r="J163" s="41" t="n"/>
      <c r="K163" s="41" t="n"/>
      <c r="L163" s="41" t="n"/>
      <c r="M163" s="41" t="inlineStr">
        <is>
          <t>Closed</t>
        </is>
      </c>
      <c r="N163" s="41" t="n"/>
    </row>
    <row r="164">
      <c r="A164" s="80" t="n">
        <v>46125</v>
      </c>
      <c r="B164" s="41" t="n"/>
      <c r="C164" s="41" t="n"/>
      <c r="D164" s="41" t="inlineStr">
        <is>
          <t>C</t>
        </is>
      </c>
      <c r="E164" s="41" t="n"/>
      <c r="F164" s="41" t="inlineStr">
        <is>
          <t>CRIMP CENTER 02</t>
        </is>
      </c>
      <c r="G164" s="41" t="n"/>
      <c r="H164" s="41" t="n"/>
      <c r="I164" s="41" t="n"/>
      <c r="J164" s="41" t="n"/>
      <c r="K164" s="41" t="n"/>
      <c r="L164" s="41" t="n"/>
      <c r="M164" s="41" t="inlineStr">
        <is>
          <t>In progress</t>
        </is>
      </c>
      <c r="N164" s="41" t="n"/>
    </row>
    <row r="165">
      <c r="A165" s="80" t="n">
        <v>46059</v>
      </c>
      <c r="B165" s="41" t="n"/>
      <c r="C165" s="41" t="n"/>
      <c r="D165" s="41" t="inlineStr">
        <is>
          <t>A</t>
        </is>
      </c>
      <c r="E165" s="41" t="n"/>
      <c r="F165" s="41" t="inlineStr">
        <is>
          <t>PRESS-12</t>
        </is>
      </c>
      <c r="G165" s="41" t="n"/>
      <c r="H165" s="41" t="n"/>
      <c r="I165" s="41" t="n"/>
      <c r="J165" s="41" t="n"/>
      <c r="K165" s="41" t="n"/>
      <c r="L165" s="41" t="n"/>
      <c r="M165" s="41" t="inlineStr">
        <is>
          <t>In progress</t>
        </is>
      </c>
      <c r="N165" s="41" t="n"/>
    </row>
    <row r="166">
      <c r="A166" s="80" t="n">
        <v>46120</v>
      </c>
      <c r="B166" s="41" t="n"/>
      <c r="C166" s="41" t="n"/>
      <c r="D166" s="41" t="inlineStr">
        <is>
          <t>A</t>
        </is>
      </c>
      <c r="E166" s="41" t="n"/>
      <c r="F166" s="41" t="inlineStr">
        <is>
          <t>SCHLEUNIGER C386</t>
        </is>
      </c>
      <c r="G166" s="41" t="n"/>
      <c r="H166" s="41" t="n"/>
      <c r="I166" s="41" t="n"/>
      <c r="J166" s="41" t="n"/>
      <c r="K166" s="41" t="n"/>
      <c r="L166" s="41" t="n"/>
      <c r="M166" s="41" t="inlineStr">
        <is>
          <t>In progress</t>
        </is>
      </c>
      <c r="N166" s="41" t="n"/>
    </row>
    <row r="167">
      <c r="A167" s="80" t="n">
        <v>46029</v>
      </c>
      <c r="B167" s="41" t="n"/>
      <c r="C167" s="41" t="n"/>
      <c r="D167" s="41" t="inlineStr">
        <is>
          <t>B</t>
        </is>
      </c>
      <c r="E167" s="41" t="n"/>
      <c r="F167" s="41" t="inlineStr">
        <is>
          <t>PRESS-12</t>
        </is>
      </c>
      <c r="G167" s="41" t="n"/>
      <c r="H167" s="41" t="n"/>
      <c r="I167" s="41" t="n"/>
      <c r="J167" s="41" t="n"/>
      <c r="K167" s="41" t="n"/>
      <c r="L167" s="41" t="n"/>
      <c r="M167" s="41" t="inlineStr">
        <is>
          <t>Open</t>
        </is>
      </c>
      <c r="N167" s="41" t="n"/>
    </row>
    <row r="168">
      <c r="A168" s="80" t="n">
        <v>46181</v>
      </c>
      <c r="B168" s="41" t="n"/>
      <c r="C168" s="41" t="n"/>
      <c r="D168" s="41" t="inlineStr">
        <is>
          <t>A</t>
        </is>
      </c>
      <c r="E168" s="41" t="n"/>
      <c r="F168" s="41" t="inlineStr">
        <is>
          <t>PRESS-12</t>
        </is>
      </c>
      <c r="G168" s="41" t="n"/>
      <c r="H168" s="41" t="n"/>
      <c r="I168" s="41" t="n"/>
      <c r="J168" s="41" t="n"/>
      <c r="K168" s="41" t="n"/>
      <c r="L168" s="41" t="n"/>
      <c r="M168" s="41" t="inlineStr">
        <is>
          <t>Open</t>
        </is>
      </c>
      <c r="N168" s="41" t="n"/>
    </row>
    <row r="169">
      <c r="A169" s="80" t="n">
        <v>46083</v>
      </c>
      <c r="B169" s="41" t="n"/>
      <c r="C169" s="41" t="n"/>
      <c r="D169" s="41" t="inlineStr">
        <is>
          <t>A</t>
        </is>
      </c>
      <c r="E169" s="41" t="n"/>
      <c r="F169" s="41" t="inlineStr">
        <is>
          <t>CRIMP CENTER 02</t>
        </is>
      </c>
      <c r="G169" s="41" t="n"/>
      <c r="H169" s="41" t="n"/>
      <c r="I169" s="41" t="n"/>
      <c r="J169" s="41" t="n"/>
      <c r="K169" s="41" t="n"/>
      <c r="L169" s="41" t="n"/>
      <c r="M169" s="41" t="inlineStr">
        <is>
          <t>Open</t>
        </is>
      </c>
      <c r="N169" s="41" t="n"/>
    </row>
    <row r="170">
      <c r="A170" s="80" t="n">
        <v>46176</v>
      </c>
      <c r="B170" s="41" t="n"/>
      <c r="C170" s="41" t="n"/>
      <c r="D170" s="41" t="inlineStr">
        <is>
          <t>B</t>
        </is>
      </c>
      <c r="E170" s="41" t="n"/>
      <c r="F170" s="41" t="inlineStr">
        <is>
          <t>SCHLEUNIGER C386</t>
        </is>
      </c>
      <c r="G170" s="41" t="n"/>
      <c r="H170" s="41" t="n"/>
      <c r="I170" s="41" t="n"/>
      <c r="J170" s="41" t="n"/>
      <c r="K170" s="41" t="n"/>
      <c r="L170" s="41" t="n"/>
      <c r="M170" s="41" t="inlineStr">
        <is>
          <t>Open</t>
        </is>
      </c>
      <c r="N170" s="41" t="n"/>
    </row>
    <row r="171">
      <c r="A171" s="80" t="n">
        <v>46135</v>
      </c>
      <c r="B171" s="41" t="n"/>
      <c r="C171" s="41" t="n"/>
      <c r="D171" s="41" t="inlineStr">
        <is>
          <t>C</t>
        </is>
      </c>
      <c r="E171" s="41" t="n"/>
      <c r="F171" s="41" t="inlineStr">
        <is>
          <t>CRIMP CENTER 02</t>
        </is>
      </c>
      <c r="G171" s="41" t="n"/>
      <c r="H171" s="41" t="n"/>
      <c r="I171" s="41" t="n"/>
      <c r="J171" s="41" t="n"/>
      <c r="K171" s="41" t="n"/>
      <c r="L171" s="41" t="n"/>
      <c r="M171" s="41" t="inlineStr">
        <is>
          <t>Closed</t>
        </is>
      </c>
      <c r="N171" s="41" t="n"/>
    </row>
    <row r="172">
      <c r="A172" s="80" t="n">
        <v>46051</v>
      </c>
      <c r="B172" s="41" t="n"/>
      <c r="C172" s="41" t="n"/>
      <c r="D172" s="41" t="inlineStr">
        <is>
          <t>A</t>
        </is>
      </c>
      <c r="E172" s="41" t="n"/>
      <c r="F172" s="41" t="inlineStr">
        <is>
          <t>PRESS-12</t>
        </is>
      </c>
      <c r="G172" s="41" t="n"/>
      <c r="H172" s="41" t="n"/>
      <c r="I172" s="41" t="n"/>
      <c r="J172" s="41" t="n"/>
      <c r="K172" s="41" t="n"/>
      <c r="L172" s="41" t="n"/>
      <c r="M172" s="41" t="inlineStr">
        <is>
          <t>Closed</t>
        </is>
      </c>
      <c r="N172" s="41" t="n"/>
    </row>
    <row r="173">
      <c r="A173" s="80" t="n">
        <v>46193</v>
      </c>
      <c r="B173" s="41" t="n"/>
      <c r="C173" s="41" t="n"/>
      <c r="D173" s="41" t="inlineStr">
        <is>
          <t>B</t>
        </is>
      </c>
      <c r="E173" s="41" t="n"/>
      <c r="F173" s="41" t="inlineStr">
        <is>
          <t>PRESS-12</t>
        </is>
      </c>
      <c r="G173" s="41" t="n"/>
      <c r="H173" s="41" t="n"/>
      <c r="I173" s="41" t="n"/>
      <c r="J173" s="41" t="n"/>
      <c r="K173" s="41" t="n"/>
      <c r="L173" s="41" t="n"/>
      <c r="M173" s="41" t="inlineStr">
        <is>
          <t>Closed</t>
        </is>
      </c>
      <c r="N173" s="41" t="n"/>
    </row>
    <row r="174">
      <c r="A174" s="80" t="n">
        <v>46138</v>
      </c>
      <c r="B174" s="41" t="n"/>
      <c r="C174" s="41" t="n"/>
      <c r="D174" s="41" t="inlineStr">
        <is>
          <t>B</t>
        </is>
      </c>
      <c r="E174" s="41" t="n"/>
      <c r="F174" s="41" t="inlineStr">
        <is>
          <t>SCHLEUNIGER C386</t>
        </is>
      </c>
      <c r="G174" s="41" t="n"/>
      <c r="H174" s="41" t="n"/>
      <c r="I174" s="41" t="n"/>
      <c r="J174" s="41" t="n"/>
      <c r="K174" s="41" t="n"/>
      <c r="L174" s="41" t="n"/>
      <c r="M174" s="41" t="inlineStr">
        <is>
          <t>Closed</t>
        </is>
      </c>
      <c r="N174" s="41" t="n"/>
    </row>
    <row r="175">
      <c r="A175" s="80" t="n">
        <v>46191</v>
      </c>
      <c r="B175" s="41" t="n"/>
      <c r="C175" s="41" t="n"/>
      <c r="D175" s="41" t="inlineStr">
        <is>
          <t>C</t>
        </is>
      </c>
      <c r="E175" s="41" t="n"/>
      <c r="F175" s="41" t="inlineStr">
        <is>
          <t>PRESS-12</t>
        </is>
      </c>
      <c r="G175" s="41" t="n"/>
      <c r="H175" s="41" t="n"/>
      <c r="I175" s="41" t="n"/>
      <c r="J175" s="41" t="n"/>
      <c r="K175" s="41" t="n"/>
      <c r="L175" s="41" t="n"/>
      <c r="M175" s="41" t="inlineStr">
        <is>
          <t>In progress</t>
        </is>
      </c>
      <c r="N175" s="41" t="n"/>
    </row>
    <row r="176">
      <c r="A176" s="80" t="n">
        <v>46158</v>
      </c>
      <c r="B176" s="41" t="n"/>
      <c r="C176" s="41" t="n"/>
      <c r="D176" s="41" t="inlineStr">
        <is>
          <t>C</t>
        </is>
      </c>
      <c r="E176" s="41" t="n"/>
      <c r="F176" s="41" t="inlineStr">
        <is>
          <t>SCHLEUNIGER C386</t>
        </is>
      </c>
      <c r="G176" s="41" t="n"/>
      <c r="H176" s="41" t="n"/>
      <c r="I176" s="41" t="n"/>
      <c r="J176" s="41" t="n"/>
      <c r="K176" s="41" t="n"/>
      <c r="L176" s="41" t="n"/>
      <c r="M176" s="41" t="inlineStr">
        <is>
          <t>In progress</t>
        </is>
      </c>
      <c r="N176" s="41" t="n"/>
    </row>
    <row r="177">
      <c r="A177" s="80" t="n">
        <v>46140</v>
      </c>
      <c r="B177" s="41" t="n"/>
      <c r="C177" s="41" t="n"/>
      <c r="D177" s="41" t="inlineStr">
        <is>
          <t>B</t>
        </is>
      </c>
      <c r="E177" s="41" t="n"/>
      <c r="F177" s="41" t="inlineStr">
        <is>
          <t>CRIMP CENTER 02</t>
        </is>
      </c>
      <c r="G177" s="41" t="n"/>
      <c r="H177" s="41" t="n"/>
      <c r="I177" s="41" t="n"/>
      <c r="J177" s="41" t="n"/>
      <c r="K177" s="41" t="n"/>
      <c r="L177" s="41" t="n"/>
      <c r="M177" s="41" t="inlineStr">
        <is>
          <t>Open</t>
        </is>
      </c>
      <c r="N177" s="41" t="n"/>
    </row>
    <row r="178">
      <c r="A178" s="80" t="n">
        <v>46138</v>
      </c>
      <c r="B178" s="41" t="n"/>
      <c r="C178" s="41" t="n"/>
      <c r="D178" s="41" t="inlineStr">
        <is>
          <t>B</t>
        </is>
      </c>
      <c r="E178" s="41" t="n"/>
      <c r="F178" s="41" t="inlineStr">
        <is>
          <t>CRIMP CENTER 02</t>
        </is>
      </c>
      <c r="G178" s="41" t="n"/>
      <c r="H178" s="41" t="n"/>
      <c r="I178" s="41" t="n"/>
      <c r="J178" s="41" t="n"/>
      <c r="K178" s="41" t="n"/>
      <c r="L178" s="41" t="n"/>
      <c r="M178" s="41" t="inlineStr">
        <is>
          <t>Closed</t>
        </is>
      </c>
      <c r="N178" s="41" t="n"/>
    </row>
    <row r="179">
      <c r="A179" s="80" t="n">
        <v>46146</v>
      </c>
      <c r="B179" s="41" t="n"/>
      <c r="C179" s="41" t="n"/>
      <c r="D179" s="41" t="inlineStr">
        <is>
          <t>B</t>
        </is>
      </c>
      <c r="E179" s="41" t="n"/>
      <c r="F179" s="41" t="inlineStr">
        <is>
          <t>PRESS-12</t>
        </is>
      </c>
      <c r="G179" s="41" t="n"/>
      <c r="H179" s="41" t="n"/>
      <c r="I179" s="41" t="n"/>
      <c r="J179" s="41" t="n"/>
      <c r="K179" s="41" t="n"/>
      <c r="L179" s="41" t="n"/>
      <c r="M179" s="41" t="inlineStr">
        <is>
          <t>In progress</t>
        </is>
      </c>
      <c r="N179" s="41" t="n"/>
    </row>
    <row r="180">
      <c r="A180" s="80" t="n">
        <v>46069</v>
      </c>
      <c r="B180" s="41" t="n"/>
      <c r="C180" s="41" t="n"/>
      <c r="D180" s="41" t="inlineStr">
        <is>
          <t>C</t>
        </is>
      </c>
      <c r="E180" s="41" t="n"/>
      <c r="F180" s="41" t="inlineStr">
        <is>
          <t>SCHLEUNIGER C386</t>
        </is>
      </c>
      <c r="G180" s="41" t="n"/>
      <c r="H180" s="41" t="n"/>
      <c r="I180" s="41" t="n"/>
      <c r="J180" s="41" t="n"/>
      <c r="K180" s="41" t="n"/>
      <c r="L180" s="41" t="n"/>
      <c r="M180" s="41" t="inlineStr">
        <is>
          <t>Open</t>
        </is>
      </c>
      <c r="N180" s="41" t="n"/>
    </row>
    <row r="181">
      <c r="A181" s="80" t="n">
        <v>46140</v>
      </c>
      <c r="B181" s="41" t="n"/>
      <c r="C181" s="41" t="n"/>
      <c r="D181" s="41" t="inlineStr">
        <is>
          <t>A</t>
        </is>
      </c>
      <c r="E181" s="41" t="n"/>
      <c r="F181" s="41" t="inlineStr">
        <is>
          <t>SCHLEUNIGER C386</t>
        </is>
      </c>
      <c r="G181" s="41" t="n"/>
      <c r="H181" s="41" t="n"/>
      <c r="I181" s="41" t="n"/>
      <c r="J181" s="41" t="n"/>
      <c r="K181" s="41" t="n"/>
      <c r="L181" s="41" t="n"/>
      <c r="M181" s="41" t="inlineStr">
        <is>
          <t>Closed</t>
        </is>
      </c>
      <c r="N181" s="41" t="n"/>
    </row>
    <row r="182">
      <c r="A182" s="80" t="n">
        <v>46044</v>
      </c>
      <c r="B182" s="41" t="n"/>
      <c r="C182" s="41" t="n"/>
      <c r="D182" s="41" t="inlineStr">
        <is>
          <t>A</t>
        </is>
      </c>
      <c r="E182" s="41" t="n"/>
      <c r="F182" s="41" t="inlineStr">
        <is>
          <t>SCHLEUNIGER C386</t>
        </is>
      </c>
      <c r="G182" s="41" t="n"/>
      <c r="H182" s="41" t="n"/>
      <c r="I182" s="41" t="n"/>
      <c r="J182" s="41" t="n"/>
      <c r="K182" s="41" t="n"/>
      <c r="L182" s="41" t="n"/>
      <c r="M182" s="41" t="inlineStr">
        <is>
          <t>Closed</t>
        </is>
      </c>
      <c r="N182" s="41" t="n"/>
    </row>
    <row r="183">
      <c r="A183" s="80" t="n">
        <v>46111</v>
      </c>
      <c r="B183" s="41" t="n"/>
      <c r="C183" s="41" t="n"/>
      <c r="D183" s="41" t="inlineStr">
        <is>
          <t>C</t>
        </is>
      </c>
      <c r="E183" s="41" t="n"/>
      <c r="F183" s="41" t="inlineStr">
        <is>
          <t>THOR-05</t>
        </is>
      </c>
      <c r="G183" s="41" t="n"/>
      <c r="H183" s="41" t="n"/>
      <c r="I183" s="41" t="n"/>
      <c r="J183" s="41" t="n"/>
      <c r="K183" s="41" t="n"/>
      <c r="L183" s="41" t="n"/>
      <c r="M183" s="41" t="inlineStr">
        <is>
          <t>In progress</t>
        </is>
      </c>
      <c r="N183" s="41" t="n"/>
    </row>
    <row r="184">
      <c r="A184" s="80" t="n">
        <v>46077</v>
      </c>
      <c r="B184" s="41" t="n"/>
      <c r="C184" s="41" t="n"/>
      <c r="D184" s="41" t="inlineStr">
        <is>
          <t>A</t>
        </is>
      </c>
      <c r="E184" s="41" t="n"/>
      <c r="F184" s="41" t="inlineStr">
        <is>
          <t>PRESS-12</t>
        </is>
      </c>
      <c r="G184" s="41" t="n"/>
      <c r="H184" s="41" t="n"/>
      <c r="I184" s="41" t="n"/>
      <c r="J184" s="41" t="n"/>
      <c r="K184" s="41" t="n"/>
      <c r="L184" s="41" t="n"/>
      <c r="M184" s="41" t="inlineStr">
        <is>
          <t>Closed</t>
        </is>
      </c>
      <c r="N184" s="41" t="n"/>
    </row>
    <row r="185">
      <c r="A185" s="80" t="n">
        <v>46059</v>
      </c>
      <c r="B185" s="41" t="n"/>
      <c r="C185" s="41" t="n"/>
      <c r="D185" s="41" t="inlineStr">
        <is>
          <t>A</t>
        </is>
      </c>
      <c r="E185" s="41" t="n"/>
      <c r="F185" s="41" t="inlineStr">
        <is>
          <t>THOR-05</t>
        </is>
      </c>
      <c r="G185" s="41" t="n"/>
      <c r="H185" s="41" t="n"/>
      <c r="I185" s="41" t="n"/>
      <c r="J185" s="41" t="n"/>
      <c r="K185" s="41" t="n"/>
      <c r="L185" s="41" t="n"/>
      <c r="M185" s="41" t="inlineStr">
        <is>
          <t>Open</t>
        </is>
      </c>
      <c r="N185" s="41" t="n"/>
    </row>
    <row r="186">
      <c r="A186" s="80" t="n">
        <v>46093</v>
      </c>
      <c r="B186" s="41" t="n"/>
      <c r="C186" s="41" t="n"/>
      <c r="D186" s="41" t="inlineStr">
        <is>
          <t>B</t>
        </is>
      </c>
      <c r="E186" s="41" t="n"/>
      <c r="F186" s="41" t="inlineStr">
        <is>
          <t>KOMAX K355</t>
        </is>
      </c>
      <c r="G186" s="41" t="n"/>
      <c r="H186" s="41" t="n"/>
      <c r="I186" s="41" t="n"/>
      <c r="J186" s="41" t="n"/>
      <c r="K186" s="41" t="n"/>
      <c r="L186" s="41" t="n"/>
      <c r="M186" s="41" t="inlineStr">
        <is>
          <t>In progress</t>
        </is>
      </c>
      <c r="N186" s="41" t="n"/>
    </row>
    <row r="187">
      <c r="A187" s="80" t="n">
        <v>46044</v>
      </c>
      <c r="B187" s="41" t="n"/>
      <c r="C187" s="41" t="n"/>
      <c r="D187" s="41" t="inlineStr">
        <is>
          <t>B</t>
        </is>
      </c>
      <c r="E187" s="41" t="n"/>
      <c r="F187" s="41" t="inlineStr">
        <is>
          <t>PRESS-12</t>
        </is>
      </c>
      <c r="G187" s="41" t="n"/>
      <c r="H187" s="41" t="n"/>
      <c r="I187" s="41" t="n"/>
      <c r="J187" s="41" t="n"/>
      <c r="K187" s="41" t="n"/>
      <c r="L187" s="41" t="n"/>
      <c r="M187" s="41" t="inlineStr">
        <is>
          <t>In progress</t>
        </is>
      </c>
      <c r="N187" s="41" t="n"/>
    </row>
    <row r="188">
      <c r="A188" s="80" t="n">
        <v>46057</v>
      </c>
      <c r="B188" s="41" t="n"/>
      <c r="C188" s="41" t="n"/>
      <c r="D188" s="41" t="inlineStr">
        <is>
          <t>A</t>
        </is>
      </c>
      <c r="E188" s="41" t="n"/>
      <c r="F188" s="41" t="inlineStr">
        <is>
          <t>KOMAX K355</t>
        </is>
      </c>
      <c r="G188" s="41" t="n"/>
      <c r="H188" s="41" t="n"/>
      <c r="I188" s="41" t="n"/>
      <c r="J188" s="41" t="n"/>
      <c r="K188" s="41" t="n"/>
      <c r="L188" s="41" t="n"/>
      <c r="M188" s="41" t="inlineStr">
        <is>
          <t>In progress</t>
        </is>
      </c>
      <c r="N188" s="41" t="n"/>
    </row>
    <row r="189">
      <c r="A189" s="80" t="n">
        <v>46148</v>
      </c>
      <c r="B189" s="41" t="n"/>
      <c r="C189" s="41" t="n"/>
      <c r="D189" s="41" t="inlineStr">
        <is>
          <t>B</t>
        </is>
      </c>
      <c r="E189" s="41" t="n"/>
      <c r="F189" s="41" t="inlineStr">
        <is>
          <t>KOMAX K355</t>
        </is>
      </c>
      <c r="G189" s="41" t="n"/>
      <c r="H189" s="41" t="n"/>
      <c r="I189" s="41" t="n"/>
      <c r="J189" s="41" t="n"/>
      <c r="K189" s="41" t="n"/>
      <c r="L189" s="41" t="n"/>
      <c r="M189" s="41" t="inlineStr">
        <is>
          <t>Open</t>
        </is>
      </c>
      <c r="N189" s="41" t="n"/>
    </row>
    <row r="190">
      <c r="A190" s="80" t="n">
        <v>46197</v>
      </c>
      <c r="B190" s="41" t="n"/>
      <c r="C190" s="41" t="n"/>
      <c r="D190" s="41" t="inlineStr">
        <is>
          <t>A</t>
        </is>
      </c>
      <c r="E190" s="41" t="n"/>
      <c r="F190" s="41" t="inlineStr">
        <is>
          <t>PRESS-12</t>
        </is>
      </c>
      <c r="G190" s="41" t="n"/>
      <c r="H190" s="41" t="n"/>
      <c r="I190" s="41" t="n"/>
      <c r="J190" s="41" t="n"/>
      <c r="K190" s="41" t="n"/>
      <c r="L190" s="41" t="n"/>
      <c r="M190" s="41" t="inlineStr">
        <is>
          <t>Closed</t>
        </is>
      </c>
      <c r="N190" s="41" t="n"/>
    </row>
    <row r="191">
      <c r="A191" s="80" t="n">
        <v>46067</v>
      </c>
      <c r="B191" s="41" t="n"/>
      <c r="C191" s="41" t="n"/>
      <c r="D191" s="41" t="inlineStr">
        <is>
          <t>B</t>
        </is>
      </c>
      <c r="E191" s="41" t="n"/>
      <c r="F191" s="41" t="inlineStr">
        <is>
          <t>KOMAX K355</t>
        </is>
      </c>
      <c r="G191" s="41" t="n"/>
      <c r="H191" s="41" t="n"/>
      <c r="I191" s="41" t="n"/>
      <c r="J191" s="41" t="n"/>
      <c r="K191" s="41" t="n"/>
      <c r="L191" s="41" t="n"/>
      <c r="M191" s="41" t="inlineStr">
        <is>
          <t>In progress</t>
        </is>
      </c>
      <c r="N191" s="41" t="n"/>
    </row>
    <row r="192">
      <c r="A192" s="80" t="n">
        <v>46037</v>
      </c>
      <c r="B192" s="41" t="n"/>
      <c r="C192" s="41" t="n"/>
      <c r="D192" s="41" t="inlineStr">
        <is>
          <t>B</t>
        </is>
      </c>
      <c r="E192" s="41" t="n"/>
      <c r="F192" s="41" t="inlineStr">
        <is>
          <t>SCHLEUNIGER C386</t>
        </is>
      </c>
      <c r="G192" s="41" t="n"/>
      <c r="H192" s="41" t="n"/>
      <c r="I192" s="41" t="n"/>
      <c r="J192" s="41" t="n"/>
      <c r="K192" s="41" t="n"/>
      <c r="L192" s="41" t="n"/>
      <c r="M192" s="41" t="inlineStr">
        <is>
          <t>In progress</t>
        </is>
      </c>
      <c r="N192" s="41" t="n"/>
    </row>
    <row r="193">
      <c r="A193" s="80" t="n">
        <v>46175</v>
      </c>
      <c r="B193" s="41" t="n"/>
      <c r="C193" s="41" t="n"/>
      <c r="D193" s="41" t="inlineStr">
        <is>
          <t>C</t>
        </is>
      </c>
      <c r="E193" s="41" t="n"/>
      <c r="F193" s="41" t="inlineStr">
        <is>
          <t>KOMAX K355</t>
        </is>
      </c>
      <c r="G193" s="41" t="n"/>
      <c r="H193" s="41" t="n"/>
      <c r="I193" s="41" t="n"/>
      <c r="J193" s="41" t="n"/>
      <c r="K193" s="41" t="n"/>
      <c r="L193" s="41" t="n"/>
      <c r="M193" s="41" t="inlineStr">
        <is>
          <t>In progress</t>
        </is>
      </c>
      <c r="N193" s="41" t="n"/>
    </row>
    <row r="194">
      <c r="A194" s="80" t="n">
        <v>46147</v>
      </c>
      <c r="B194" s="41" t="n"/>
      <c r="C194" s="41" t="n"/>
      <c r="D194" s="41" t="inlineStr">
        <is>
          <t>B</t>
        </is>
      </c>
      <c r="E194" s="41" t="n"/>
      <c r="F194" s="41" t="inlineStr">
        <is>
          <t>KOMAX K355</t>
        </is>
      </c>
      <c r="G194" s="41" t="n"/>
      <c r="H194" s="41" t="n"/>
      <c r="I194" s="41" t="n"/>
      <c r="J194" s="41" t="n"/>
      <c r="K194" s="41" t="n"/>
      <c r="L194" s="41" t="n"/>
      <c r="M194" s="41" t="inlineStr">
        <is>
          <t>Open</t>
        </is>
      </c>
      <c r="N194" s="41" t="n"/>
    </row>
    <row r="195">
      <c r="A195" s="80" t="n">
        <v>46095</v>
      </c>
      <c r="B195" s="41" t="n"/>
      <c r="C195" s="41" t="n"/>
      <c r="D195" s="41" t="inlineStr">
        <is>
          <t>A</t>
        </is>
      </c>
      <c r="E195" s="41" t="n"/>
      <c r="F195" s="41" t="inlineStr">
        <is>
          <t>PRESS-12</t>
        </is>
      </c>
      <c r="G195" s="41" t="n"/>
      <c r="H195" s="41" t="n"/>
      <c r="I195" s="41" t="n"/>
      <c r="J195" s="41" t="n"/>
      <c r="K195" s="41" t="n"/>
      <c r="L195" s="41" t="n"/>
      <c r="M195" s="41" t="inlineStr">
        <is>
          <t>Closed</t>
        </is>
      </c>
      <c r="N195" s="41" t="n"/>
    </row>
    <row r="196">
      <c r="A196" s="80" t="n">
        <v>46081</v>
      </c>
      <c r="B196" s="41" t="n"/>
      <c r="C196" s="41" t="n"/>
      <c r="D196" s="41" t="inlineStr">
        <is>
          <t>B</t>
        </is>
      </c>
      <c r="E196" s="41" t="n"/>
      <c r="F196" s="41" t="inlineStr">
        <is>
          <t>PRESS-12</t>
        </is>
      </c>
      <c r="G196" s="41" t="n"/>
      <c r="H196" s="41" t="n"/>
      <c r="I196" s="41" t="n"/>
      <c r="J196" s="41" t="n"/>
      <c r="K196" s="41" t="n"/>
      <c r="L196" s="41" t="n"/>
      <c r="M196" s="41" t="inlineStr">
        <is>
          <t>In progress</t>
        </is>
      </c>
      <c r="N196" s="41" t="n"/>
    </row>
    <row r="197">
      <c r="A197" s="80" t="n">
        <v>46029</v>
      </c>
      <c r="B197" s="41" t="n"/>
      <c r="C197" s="41" t="n"/>
      <c r="D197" s="41" t="inlineStr">
        <is>
          <t>B</t>
        </is>
      </c>
      <c r="E197" s="41" t="n"/>
      <c r="F197" s="41" t="inlineStr">
        <is>
          <t>SCHLEUNIGER C386</t>
        </is>
      </c>
      <c r="G197" s="41" t="n"/>
      <c r="H197" s="41" t="n"/>
      <c r="I197" s="41" t="n"/>
      <c r="J197" s="41" t="n"/>
      <c r="K197" s="41" t="n"/>
      <c r="L197" s="41" t="n"/>
      <c r="M197" s="41" t="inlineStr">
        <is>
          <t>Closed</t>
        </is>
      </c>
      <c r="N197" s="41" t="n"/>
    </row>
    <row r="198">
      <c r="A198" s="80" t="n">
        <v>46116</v>
      </c>
      <c r="B198" s="41" t="n"/>
      <c r="C198" s="41" t="n"/>
      <c r="D198" s="41" t="inlineStr">
        <is>
          <t>A</t>
        </is>
      </c>
      <c r="E198" s="41" t="n"/>
      <c r="F198" s="41" t="inlineStr">
        <is>
          <t>SCHLEUNIGER C386</t>
        </is>
      </c>
      <c r="G198" s="41" t="n"/>
      <c r="H198" s="41" t="n"/>
      <c r="I198" s="41" t="n"/>
      <c r="J198" s="41" t="n"/>
      <c r="K198" s="41" t="n"/>
      <c r="L198" s="41" t="n"/>
      <c r="M198" s="41" t="inlineStr">
        <is>
          <t>Closed</t>
        </is>
      </c>
      <c r="N198" s="41" t="n"/>
    </row>
    <row r="199">
      <c r="A199" s="80" t="n">
        <v>46203</v>
      </c>
      <c r="B199" s="41" t="n"/>
      <c r="C199" s="41" t="n"/>
      <c r="D199" s="41" t="inlineStr">
        <is>
          <t>B</t>
        </is>
      </c>
      <c r="E199" s="41" t="n"/>
      <c r="F199" s="41" t="inlineStr">
        <is>
          <t>KOMAX K355</t>
        </is>
      </c>
      <c r="G199" s="41" t="n"/>
      <c r="H199" s="41" t="n"/>
      <c r="I199" s="41" t="n"/>
      <c r="J199" s="41" t="n"/>
      <c r="K199" s="41" t="n"/>
      <c r="L199" s="41" t="n"/>
      <c r="M199" s="41" t="inlineStr">
        <is>
          <t>Closed</t>
        </is>
      </c>
      <c r="N199" s="41" t="n"/>
    </row>
    <row r="200">
      <c r="A200" s="80" t="n">
        <v>46166</v>
      </c>
      <c r="B200" s="41" t="n"/>
      <c r="C200" s="41" t="n"/>
      <c r="D200" s="41" t="inlineStr">
        <is>
          <t>B</t>
        </is>
      </c>
      <c r="E200" s="41" t="n"/>
      <c r="F200" s="41" t="inlineStr">
        <is>
          <t>KOMAX K355</t>
        </is>
      </c>
      <c r="G200" s="41" t="n"/>
      <c r="H200" s="41" t="n"/>
      <c r="I200" s="41" t="n"/>
      <c r="J200" s="41" t="n"/>
      <c r="K200" s="41" t="n"/>
      <c r="L200" s="41" t="n"/>
      <c r="M200" s="41" t="inlineStr">
        <is>
          <t>In progress</t>
        </is>
      </c>
      <c r="N200" s="41" t="n"/>
    </row>
    <row r="201">
      <c r="A201" s="80" t="n">
        <v>46181</v>
      </c>
      <c r="B201" s="41" t="n"/>
      <c r="C201" s="41" t="n"/>
      <c r="D201" s="41" t="inlineStr">
        <is>
          <t>B</t>
        </is>
      </c>
      <c r="E201" s="41" t="n"/>
      <c r="F201" s="41" t="inlineStr">
        <is>
          <t>PRESS-12</t>
        </is>
      </c>
      <c r="G201" s="41" t="n"/>
      <c r="H201" s="41" t="n"/>
      <c r="I201" s="41" t="n"/>
      <c r="J201" s="41" t="n"/>
      <c r="K201" s="41" t="n"/>
      <c r="L201" s="41" t="n"/>
      <c r="M201" s="41" t="inlineStr">
        <is>
          <t>In progress</t>
        </is>
      </c>
      <c r="N201" s="41" t="n"/>
    </row>
    <row r="202">
      <c r="A202" s="80" t="n">
        <v>46170</v>
      </c>
      <c r="B202" s="41" t="n"/>
      <c r="C202" s="41" t="n"/>
      <c r="D202" s="41" t="inlineStr">
        <is>
          <t>B</t>
        </is>
      </c>
      <c r="E202" s="41" t="n"/>
      <c r="F202" s="41" t="inlineStr">
        <is>
          <t>SCHLEUNIGER C386</t>
        </is>
      </c>
      <c r="G202" s="41" t="n"/>
      <c r="H202" s="41" t="n"/>
      <c r="I202" s="41" t="n"/>
      <c r="J202" s="41" t="n"/>
      <c r="K202" s="41" t="n"/>
      <c r="L202" s="41" t="n"/>
      <c r="M202" s="41" t="inlineStr">
        <is>
          <t>In progress</t>
        </is>
      </c>
      <c r="N202" s="41" t="n"/>
    </row>
    <row r="203">
      <c r="A203" s="80" t="n">
        <v>46025</v>
      </c>
      <c r="B203" s="41" t="n"/>
      <c r="C203" s="41" t="n"/>
      <c r="D203" s="41" t="inlineStr">
        <is>
          <t>C</t>
        </is>
      </c>
      <c r="E203" s="41" t="n"/>
      <c r="F203" s="41" t="inlineStr">
        <is>
          <t>CRIMP CENTER 02</t>
        </is>
      </c>
      <c r="G203" s="41" t="n"/>
      <c r="H203" s="41" t="n"/>
      <c r="I203" s="41" t="n"/>
      <c r="J203" s="41" t="n"/>
      <c r="K203" s="41" t="n"/>
      <c r="L203" s="41" t="n"/>
      <c r="M203" s="41" t="inlineStr">
        <is>
          <t>Open</t>
        </is>
      </c>
      <c r="N203" s="41" t="n"/>
    </row>
    <row r="204">
      <c r="A204" s="80" t="n">
        <v>46120</v>
      </c>
      <c r="B204" s="41" t="n"/>
      <c r="C204" s="41" t="n"/>
      <c r="D204" s="41" t="inlineStr">
        <is>
          <t>A</t>
        </is>
      </c>
      <c r="E204" s="41" t="n"/>
      <c r="F204" s="41" t="inlineStr">
        <is>
          <t>THOR-05</t>
        </is>
      </c>
      <c r="G204" s="41" t="n"/>
      <c r="H204" s="41" t="n"/>
      <c r="I204" s="41" t="n"/>
      <c r="J204" s="41" t="n"/>
      <c r="K204" s="41" t="n"/>
      <c r="L204" s="41" t="n"/>
      <c r="M204" s="41" t="inlineStr">
        <is>
          <t>Closed</t>
        </is>
      </c>
      <c r="N204" s="41" t="n"/>
    </row>
    <row r="205">
      <c r="A205" s="80" t="n">
        <v>46187</v>
      </c>
      <c r="B205" s="41" t="n"/>
      <c r="C205" s="41" t="n"/>
      <c r="D205" s="41" t="inlineStr">
        <is>
          <t>A</t>
        </is>
      </c>
      <c r="E205" s="41" t="n"/>
      <c r="F205" s="41" t="inlineStr">
        <is>
          <t>KOMAX K355</t>
        </is>
      </c>
      <c r="G205" s="41" t="n"/>
      <c r="H205" s="41" t="n"/>
      <c r="I205" s="41" t="n"/>
      <c r="J205" s="41" t="n"/>
      <c r="K205" s="41" t="n"/>
      <c r="L205" s="41" t="n"/>
      <c r="M205" s="41" t="inlineStr">
        <is>
          <t>Closed</t>
        </is>
      </c>
      <c r="N205" s="41" t="n"/>
    </row>
    <row r="206">
      <c r="A206" s="80" t="n">
        <v>46053</v>
      </c>
      <c r="B206" s="41" t="n"/>
      <c r="C206" s="41" t="n"/>
      <c r="D206" s="41" t="inlineStr">
        <is>
          <t>B</t>
        </is>
      </c>
      <c r="E206" s="41" t="n"/>
      <c r="F206" s="41" t="inlineStr">
        <is>
          <t>KOMAX K355</t>
        </is>
      </c>
      <c r="G206" s="41" t="n"/>
      <c r="H206" s="41" t="n"/>
      <c r="I206" s="41" t="n"/>
      <c r="J206" s="41" t="n"/>
      <c r="K206" s="41" t="n"/>
      <c r="L206" s="41" t="n"/>
      <c r="M206" s="41" t="inlineStr">
        <is>
          <t>In progress</t>
        </is>
      </c>
      <c r="N206" s="41" t="n"/>
    </row>
    <row r="207">
      <c r="A207" s="80" t="n">
        <v>46044</v>
      </c>
      <c r="B207" s="41" t="n"/>
      <c r="C207" s="41" t="n"/>
      <c r="D207" s="41" t="inlineStr">
        <is>
          <t>C</t>
        </is>
      </c>
      <c r="E207" s="41" t="n"/>
      <c r="F207" s="41" t="inlineStr">
        <is>
          <t>PRESS-12</t>
        </is>
      </c>
      <c r="G207" s="41" t="n"/>
      <c r="H207" s="41" t="n"/>
      <c r="I207" s="41" t="n"/>
      <c r="J207" s="41" t="n"/>
      <c r="K207" s="41" t="n"/>
      <c r="L207" s="41" t="n"/>
      <c r="M207" s="41" t="inlineStr">
        <is>
          <t>In progress</t>
        </is>
      </c>
      <c r="N207" s="41" t="n"/>
    </row>
    <row r="208">
      <c r="A208" s="80" t="n">
        <v>46130</v>
      </c>
      <c r="B208" s="41" t="n"/>
      <c r="C208" s="41" t="n"/>
      <c r="D208" s="41" t="inlineStr">
        <is>
          <t>B</t>
        </is>
      </c>
      <c r="E208" s="41" t="n"/>
      <c r="F208" s="41" t="inlineStr">
        <is>
          <t>CRIMP CENTER 02</t>
        </is>
      </c>
      <c r="G208" s="41" t="n"/>
      <c r="H208" s="41" t="n"/>
      <c r="I208" s="41" t="n"/>
      <c r="J208" s="41" t="n"/>
      <c r="K208" s="41" t="n"/>
      <c r="L208" s="41" t="n"/>
      <c r="M208" s="41" t="inlineStr">
        <is>
          <t>In progress</t>
        </is>
      </c>
      <c r="N208" s="41" t="n"/>
    </row>
    <row r="209">
      <c r="A209" s="80" t="n">
        <v>46174</v>
      </c>
      <c r="B209" s="41" t="n"/>
      <c r="C209" s="41" t="n"/>
      <c r="D209" s="41" t="inlineStr">
        <is>
          <t>A</t>
        </is>
      </c>
      <c r="E209" s="41" t="n"/>
      <c r="F209" s="41" t="inlineStr">
        <is>
          <t>SCHLEUNIGER C386</t>
        </is>
      </c>
      <c r="G209" s="41" t="n"/>
      <c r="H209" s="41" t="n"/>
      <c r="I209" s="41" t="n"/>
      <c r="J209" s="41" t="n"/>
      <c r="K209" s="41" t="n"/>
      <c r="L209" s="41" t="n"/>
      <c r="M209" s="41" t="inlineStr">
        <is>
          <t>In progress</t>
        </is>
      </c>
      <c r="N209" s="41" t="n"/>
    </row>
    <row r="210">
      <c r="A210" s="80" t="n">
        <v>46108</v>
      </c>
      <c r="B210" s="41" t="n"/>
      <c r="C210" s="41" t="n"/>
      <c r="D210" s="41" t="inlineStr">
        <is>
          <t>C</t>
        </is>
      </c>
      <c r="E210" s="41" t="n"/>
      <c r="F210" s="41" t="inlineStr">
        <is>
          <t>PRESS-12</t>
        </is>
      </c>
      <c r="G210" s="41" t="n"/>
      <c r="H210" s="41" t="n"/>
      <c r="I210" s="41" t="n"/>
      <c r="J210" s="41" t="n"/>
      <c r="K210" s="41" t="n"/>
      <c r="L210" s="41" t="n"/>
      <c r="M210" s="41" t="inlineStr">
        <is>
          <t>Closed</t>
        </is>
      </c>
      <c r="N210" s="41" t="n"/>
    </row>
    <row r="211">
      <c r="A211" s="80" t="n">
        <v>46029</v>
      </c>
      <c r="B211" s="41" t="n"/>
      <c r="C211" s="41" t="n"/>
      <c r="D211" s="41" t="inlineStr">
        <is>
          <t>A</t>
        </is>
      </c>
      <c r="E211" s="41" t="n"/>
      <c r="F211" s="41" t="inlineStr">
        <is>
          <t>CRIMP CENTER 02</t>
        </is>
      </c>
      <c r="G211" s="41" t="n"/>
      <c r="H211" s="41" t="n"/>
      <c r="I211" s="41" t="n"/>
      <c r="J211" s="41" t="n"/>
      <c r="K211" s="41" t="n"/>
      <c r="L211" s="41" t="n"/>
      <c r="M211" s="41" t="inlineStr">
        <is>
          <t>Open</t>
        </is>
      </c>
      <c r="N211" s="41" t="n"/>
    </row>
    <row r="212">
      <c r="A212" s="80" t="n">
        <v>46105</v>
      </c>
      <c r="B212" s="41" t="n"/>
      <c r="C212" s="41" t="n"/>
      <c r="D212" s="41" t="inlineStr">
        <is>
          <t>C</t>
        </is>
      </c>
      <c r="E212" s="41" t="n"/>
      <c r="F212" s="41" t="inlineStr">
        <is>
          <t>CRIMP CENTER 02</t>
        </is>
      </c>
      <c r="G212" s="41" t="n"/>
      <c r="H212" s="41" t="n"/>
      <c r="I212" s="41" t="n"/>
      <c r="J212" s="41" t="n"/>
      <c r="K212" s="41" t="n"/>
      <c r="L212" s="41" t="n"/>
      <c r="M212" s="41" t="inlineStr">
        <is>
          <t>In progress</t>
        </is>
      </c>
      <c r="N212" s="41" t="n"/>
    </row>
    <row r="213">
      <c r="A213" s="80" t="n">
        <v>46185</v>
      </c>
      <c r="B213" s="41" t="n"/>
      <c r="C213" s="41" t="n"/>
      <c r="D213" s="41" t="inlineStr">
        <is>
          <t>B</t>
        </is>
      </c>
      <c r="E213" s="41" t="n"/>
      <c r="F213" s="41" t="inlineStr">
        <is>
          <t>SCHLEUNIGER C386</t>
        </is>
      </c>
      <c r="G213" s="41" t="n"/>
      <c r="H213" s="41" t="n"/>
      <c r="I213" s="41" t="n"/>
      <c r="J213" s="41" t="n"/>
      <c r="K213" s="41" t="n"/>
      <c r="L213" s="41" t="n"/>
      <c r="M213" s="41" t="inlineStr">
        <is>
          <t>In progress</t>
        </is>
      </c>
      <c r="N213" s="41" t="n"/>
    </row>
    <row r="214">
      <c r="A214" s="80" t="n">
        <v>46119</v>
      </c>
      <c r="B214" s="41" t="n"/>
      <c r="C214" s="41" t="n"/>
      <c r="D214" s="41" t="inlineStr">
        <is>
          <t>B</t>
        </is>
      </c>
      <c r="E214" s="41" t="n"/>
      <c r="F214" s="41" t="inlineStr">
        <is>
          <t>CRIMP CENTER 02</t>
        </is>
      </c>
      <c r="G214" s="41" t="n"/>
      <c r="H214" s="41" t="n"/>
      <c r="I214" s="41" t="n"/>
      <c r="J214" s="41" t="n"/>
      <c r="K214" s="41" t="n"/>
      <c r="L214" s="41" t="n"/>
      <c r="M214" s="41" t="inlineStr">
        <is>
          <t>In progress</t>
        </is>
      </c>
      <c r="N214" s="41" t="n"/>
    </row>
    <row r="215">
      <c r="A215" s="80" t="n">
        <v>46120</v>
      </c>
      <c r="B215" s="41" t="n"/>
      <c r="C215" s="41" t="n"/>
      <c r="D215" s="41" t="inlineStr">
        <is>
          <t>A</t>
        </is>
      </c>
      <c r="E215" s="41" t="n"/>
      <c r="F215" s="41" t="inlineStr">
        <is>
          <t>CRIMP CENTER 02</t>
        </is>
      </c>
      <c r="G215" s="41" t="n"/>
      <c r="H215" s="41" t="n"/>
      <c r="I215" s="41" t="n"/>
      <c r="J215" s="41" t="n"/>
      <c r="K215" s="41" t="n"/>
      <c r="L215" s="41" t="n"/>
      <c r="M215" s="41" t="inlineStr">
        <is>
          <t>In progress</t>
        </is>
      </c>
      <c r="N215" s="41" t="n"/>
    </row>
    <row r="216">
      <c r="A216" s="80" t="n">
        <v>46160</v>
      </c>
      <c r="B216" s="41" t="n"/>
      <c r="C216" s="41" t="n"/>
      <c r="D216" s="41" t="inlineStr">
        <is>
          <t>A</t>
        </is>
      </c>
      <c r="E216" s="41" t="n"/>
      <c r="F216" s="41" t="inlineStr">
        <is>
          <t>CRIMP CENTER 02</t>
        </is>
      </c>
      <c r="G216" s="41" t="n"/>
      <c r="H216" s="41" t="n"/>
      <c r="I216" s="41" t="n"/>
      <c r="J216" s="41" t="n"/>
      <c r="K216" s="41" t="n"/>
      <c r="L216" s="41" t="n"/>
      <c r="M216" s="41" t="inlineStr">
        <is>
          <t>Open</t>
        </is>
      </c>
      <c r="N216" s="41" t="n"/>
    </row>
    <row r="217">
      <c r="A217" s="80" t="n">
        <v>46075</v>
      </c>
      <c r="B217" s="41" t="n"/>
      <c r="C217" s="41" t="n"/>
      <c r="D217" s="41" t="inlineStr">
        <is>
          <t>B</t>
        </is>
      </c>
      <c r="E217" s="41" t="n"/>
      <c r="F217" s="41" t="inlineStr">
        <is>
          <t>CRIMP CENTER 02</t>
        </is>
      </c>
      <c r="G217" s="41" t="n"/>
      <c r="H217" s="41" t="n"/>
      <c r="I217" s="41" t="n"/>
      <c r="J217" s="41" t="n"/>
      <c r="K217" s="41" t="n"/>
      <c r="L217" s="41" t="n"/>
      <c r="M217" s="41" t="inlineStr">
        <is>
          <t>Open</t>
        </is>
      </c>
      <c r="N217" s="41" t="n"/>
    </row>
    <row r="218">
      <c r="A218" s="80" t="n">
        <v>46187</v>
      </c>
      <c r="B218" s="41" t="n"/>
      <c r="C218" s="41" t="n"/>
      <c r="D218" s="41" t="inlineStr">
        <is>
          <t>A</t>
        </is>
      </c>
      <c r="E218" s="41" t="n"/>
      <c r="F218" s="41" t="inlineStr">
        <is>
          <t>KOMAX K355</t>
        </is>
      </c>
      <c r="G218" s="41" t="n"/>
      <c r="H218" s="41" t="n"/>
      <c r="I218" s="41" t="n"/>
      <c r="J218" s="41" t="n"/>
      <c r="K218" s="41" t="n"/>
      <c r="L218" s="41" t="n"/>
      <c r="M218" s="41" t="inlineStr">
        <is>
          <t>In progress</t>
        </is>
      </c>
      <c r="N218" s="41" t="n"/>
    </row>
    <row r="219">
      <c r="A219" s="80" t="n">
        <v>46035</v>
      </c>
      <c r="B219" s="41" t="n"/>
      <c r="C219" s="41" t="n"/>
      <c r="D219" s="41" t="inlineStr">
        <is>
          <t>C</t>
        </is>
      </c>
      <c r="E219" s="41" t="n"/>
      <c r="F219" s="41" t="inlineStr">
        <is>
          <t>CRIMP CENTER 02</t>
        </is>
      </c>
      <c r="G219" s="41" t="n"/>
      <c r="H219" s="41" t="n"/>
      <c r="I219" s="41" t="n"/>
      <c r="J219" s="41" t="n"/>
      <c r="K219" s="41" t="n"/>
      <c r="L219" s="41" t="n"/>
      <c r="M219" s="41" t="inlineStr">
        <is>
          <t>Open</t>
        </is>
      </c>
      <c r="N219" s="41" t="n"/>
    </row>
    <row r="220">
      <c r="A220" s="80" t="n">
        <v>46046</v>
      </c>
      <c r="B220" s="41" t="n"/>
      <c r="C220" s="41" t="n"/>
      <c r="D220" s="41" t="inlineStr">
        <is>
          <t>A</t>
        </is>
      </c>
      <c r="E220" s="41" t="n"/>
      <c r="F220" s="41" t="inlineStr">
        <is>
          <t>KOMAX K355</t>
        </is>
      </c>
      <c r="G220" s="41" t="n"/>
      <c r="H220" s="41" t="n"/>
      <c r="I220" s="41" t="n"/>
      <c r="J220" s="41" t="n"/>
      <c r="K220" s="41" t="n"/>
      <c r="L220" s="41" t="n"/>
      <c r="M220" s="41" t="inlineStr">
        <is>
          <t>Open</t>
        </is>
      </c>
      <c r="N220" s="41" t="n"/>
    </row>
    <row r="221">
      <c r="A221" s="80" t="n">
        <v>46102</v>
      </c>
      <c r="B221" s="41" t="n"/>
      <c r="C221" s="41" t="n"/>
      <c r="D221" s="41" t="inlineStr">
        <is>
          <t>A</t>
        </is>
      </c>
      <c r="E221" s="41" t="n"/>
      <c r="F221" s="41" t="inlineStr">
        <is>
          <t>KOMAX K355</t>
        </is>
      </c>
      <c r="G221" s="41" t="n"/>
      <c r="H221" s="41" t="n"/>
      <c r="I221" s="41" t="n"/>
      <c r="J221" s="41" t="n"/>
      <c r="K221" s="41" t="n"/>
      <c r="L221" s="41" t="n"/>
      <c r="M221" s="41" t="inlineStr">
        <is>
          <t>Closed</t>
        </is>
      </c>
      <c r="N221" s="41" t="n"/>
    </row>
    <row r="222">
      <c r="A222" s="80" t="n">
        <v>46092</v>
      </c>
      <c r="B222" s="41" t="n"/>
      <c r="C222" s="41" t="n"/>
      <c r="D222" s="41" t="inlineStr">
        <is>
          <t>C</t>
        </is>
      </c>
      <c r="E222" s="41" t="n"/>
      <c r="F222" s="41" t="inlineStr">
        <is>
          <t>THOR-05</t>
        </is>
      </c>
      <c r="G222" s="41" t="n"/>
      <c r="H222" s="41" t="n"/>
      <c r="I222" s="41" t="n"/>
      <c r="J222" s="41" t="n"/>
      <c r="K222" s="41" t="n"/>
      <c r="L222" s="41" t="n"/>
      <c r="M222" s="41" t="inlineStr">
        <is>
          <t>In progress</t>
        </is>
      </c>
      <c r="N222" s="41" t="n"/>
    </row>
    <row r="223">
      <c r="A223" s="80" t="n">
        <v>46152</v>
      </c>
      <c r="B223" s="41" t="n"/>
      <c r="C223" s="41" t="n"/>
      <c r="D223" s="41" t="inlineStr">
        <is>
          <t>A</t>
        </is>
      </c>
      <c r="E223" s="41" t="n"/>
      <c r="F223" s="41" t="inlineStr">
        <is>
          <t>THOR-05</t>
        </is>
      </c>
      <c r="G223" s="41" t="n"/>
      <c r="H223" s="41" t="n"/>
      <c r="I223" s="41" t="n"/>
      <c r="J223" s="41" t="n"/>
      <c r="K223" s="41" t="n"/>
      <c r="L223" s="41" t="n"/>
      <c r="M223" s="41" t="inlineStr">
        <is>
          <t>Open</t>
        </is>
      </c>
      <c r="N223" s="41" t="n"/>
    </row>
    <row r="224">
      <c r="A224" s="80" t="n">
        <v>46165</v>
      </c>
      <c r="B224" s="41" t="n"/>
      <c r="C224" s="41" t="n"/>
      <c r="D224" s="41" t="inlineStr">
        <is>
          <t>A</t>
        </is>
      </c>
      <c r="E224" s="41" t="n"/>
      <c r="F224" s="41" t="inlineStr">
        <is>
          <t>KOMAX K355</t>
        </is>
      </c>
      <c r="G224" s="41" t="n"/>
      <c r="H224" s="41" t="n"/>
      <c r="I224" s="41" t="n"/>
      <c r="J224" s="41" t="n"/>
      <c r="K224" s="41" t="n"/>
      <c r="L224" s="41" t="n"/>
      <c r="M224" s="41" t="inlineStr">
        <is>
          <t>In progress</t>
        </is>
      </c>
      <c r="N224" s="41" t="n"/>
    </row>
    <row r="225">
      <c r="A225" s="80" t="n">
        <v>46184</v>
      </c>
      <c r="B225" s="41" t="n"/>
      <c r="C225" s="41" t="n"/>
      <c r="D225" s="41" t="inlineStr">
        <is>
          <t>C</t>
        </is>
      </c>
      <c r="E225" s="41" t="n"/>
      <c r="F225" s="41" t="inlineStr">
        <is>
          <t>THOR-05</t>
        </is>
      </c>
      <c r="G225" s="41" t="n"/>
      <c r="H225" s="41" t="n"/>
      <c r="I225" s="41" t="n"/>
      <c r="J225" s="41" t="n"/>
      <c r="K225" s="41" t="n"/>
      <c r="L225" s="41" t="n"/>
      <c r="M225" s="41" t="inlineStr">
        <is>
          <t>Open</t>
        </is>
      </c>
      <c r="N225" s="41" t="n"/>
    </row>
    <row r="226">
      <c r="A226" s="80" t="n">
        <v>46203</v>
      </c>
      <c r="B226" s="41" t="n"/>
      <c r="C226" s="41" t="n"/>
      <c r="D226" s="41" t="inlineStr">
        <is>
          <t>A</t>
        </is>
      </c>
      <c r="E226" s="41" t="n"/>
      <c r="F226" s="41" t="inlineStr">
        <is>
          <t>KOMAX K355</t>
        </is>
      </c>
      <c r="G226" s="41" t="n"/>
      <c r="H226" s="41" t="n"/>
      <c r="I226" s="41" t="n"/>
      <c r="J226" s="41" t="n"/>
      <c r="K226" s="41" t="n"/>
      <c r="L226" s="41" t="n"/>
      <c r="M226" s="41" t="inlineStr">
        <is>
          <t>Open</t>
        </is>
      </c>
      <c r="N226" s="41" t="n"/>
    </row>
    <row r="227">
      <c r="A227" s="80" t="n">
        <v>46094</v>
      </c>
      <c r="B227" s="41" t="n"/>
      <c r="C227" s="41" t="n"/>
      <c r="D227" s="41" t="inlineStr">
        <is>
          <t>A</t>
        </is>
      </c>
      <c r="E227" s="41" t="n"/>
      <c r="F227" s="41" t="inlineStr">
        <is>
          <t>THOR-05</t>
        </is>
      </c>
      <c r="G227" s="41" t="n"/>
      <c r="H227" s="41" t="n"/>
      <c r="I227" s="41" t="n"/>
      <c r="J227" s="41" t="n"/>
      <c r="K227" s="41" t="n"/>
      <c r="L227" s="41" t="n"/>
      <c r="M227" s="41" t="inlineStr">
        <is>
          <t>In progress</t>
        </is>
      </c>
      <c r="N227" s="41" t="n"/>
    </row>
    <row r="228">
      <c r="A228" s="80" t="n">
        <v>46079</v>
      </c>
      <c r="B228" s="41" t="n"/>
      <c r="C228" s="41" t="n"/>
      <c r="D228" s="41" t="inlineStr">
        <is>
          <t>C</t>
        </is>
      </c>
      <c r="E228" s="41" t="n"/>
      <c r="F228" s="41" t="inlineStr">
        <is>
          <t>PRESS-12</t>
        </is>
      </c>
      <c r="G228" s="41" t="n"/>
      <c r="H228" s="41" t="n"/>
      <c r="I228" s="41" t="n"/>
      <c r="J228" s="41" t="n"/>
      <c r="K228" s="41" t="n"/>
      <c r="L228" s="41" t="n"/>
      <c r="M228" s="41" t="inlineStr">
        <is>
          <t>Open</t>
        </is>
      </c>
      <c r="N228" s="41" t="n"/>
    </row>
    <row r="229">
      <c r="A229" s="80" t="n">
        <v>46035</v>
      </c>
      <c r="B229" s="41" t="n"/>
      <c r="C229" s="41" t="n"/>
      <c r="D229" s="41" t="inlineStr">
        <is>
          <t>A</t>
        </is>
      </c>
      <c r="E229" s="41" t="n"/>
      <c r="F229" s="41" t="inlineStr">
        <is>
          <t>PRESS-12</t>
        </is>
      </c>
      <c r="G229" s="41" t="n"/>
      <c r="H229" s="41" t="n"/>
      <c r="I229" s="41" t="n"/>
      <c r="J229" s="41" t="n"/>
      <c r="K229" s="41" t="n"/>
      <c r="L229" s="41" t="n"/>
      <c r="M229" s="41" t="inlineStr">
        <is>
          <t>Closed</t>
        </is>
      </c>
      <c r="N229" s="41" t="n"/>
    </row>
    <row r="230">
      <c r="A230" s="80" t="n">
        <v>46163</v>
      </c>
      <c r="B230" s="41" t="n"/>
      <c r="C230" s="41" t="n"/>
      <c r="D230" s="41" t="inlineStr">
        <is>
          <t>A</t>
        </is>
      </c>
      <c r="E230" s="41" t="n"/>
      <c r="F230" s="41" t="inlineStr">
        <is>
          <t>PRESS-12</t>
        </is>
      </c>
      <c r="G230" s="41" t="n"/>
      <c r="H230" s="41" t="n"/>
      <c r="I230" s="41" t="n"/>
      <c r="J230" s="41" t="n"/>
      <c r="K230" s="41" t="n"/>
      <c r="L230" s="41" t="n"/>
      <c r="M230" s="41" t="inlineStr">
        <is>
          <t>In progress</t>
        </is>
      </c>
      <c r="N230" s="41" t="n"/>
    </row>
    <row r="231">
      <c r="A231" s="80" t="n">
        <v>46202</v>
      </c>
      <c r="B231" s="41" t="n"/>
      <c r="C231" s="41" t="n"/>
      <c r="D231" s="41" t="inlineStr">
        <is>
          <t>A</t>
        </is>
      </c>
      <c r="E231" s="41" t="n"/>
      <c r="F231" s="41" t="inlineStr">
        <is>
          <t>CRIMP CENTER 02</t>
        </is>
      </c>
      <c r="G231" s="41" t="n"/>
      <c r="H231" s="41" t="n"/>
      <c r="I231" s="41" t="n"/>
      <c r="J231" s="41" t="n"/>
      <c r="K231" s="41" t="n"/>
      <c r="L231" s="41" t="n"/>
      <c r="M231" s="41" t="inlineStr">
        <is>
          <t>Closed</t>
        </is>
      </c>
      <c r="N231" s="41" t="n"/>
    </row>
    <row r="232">
      <c r="A232" s="80" t="n">
        <v>46171</v>
      </c>
      <c r="B232" s="41" t="n"/>
      <c r="C232" s="41" t="n"/>
      <c r="D232" s="41" t="inlineStr">
        <is>
          <t>A</t>
        </is>
      </c>
      <c r="E232" s="41" t="n"/>
      <c r="F232" s="41" t="inlineStr">
        <is>
          <t>KOMAX K355</t>
        </is>
      </c>
      <c r="G232" s="41" t="n"/>
      <c r="H232" s="41" t="n"/>
      <c r="I232" s="41" t="n"/>
      <c r="J232" s="41" t="n"/>
      <c r="K232" s="41" t="n"/>
      <c r="L232" s="41" t="n"/>
      <c r="M232" s="41" t="inlineStr">
        <is>
          <t>Closed</t>
        </is>
      </c>
      <c r="N232" s="41" t="n"/>
    </row>
  </sheetData>
  <mergeCells count="4">
    <mergeCell ref="D2:L2"/>
    <mergeCell ref="A1:C2"/>
    <mergeCell ref="D1:L1"/>
    <mergeCell ref="A4:N4"/>
  </mergeCells>
  <conditionalFormatting sqref="M5:M232">
    <cfRule type="cellIs" priority="7" operator="equal" dxfId="1">
      <formula>"En Cours"</formula>
    </cfRule>
    <cfRule type="cellIs" priority="8" operator="equal" dxfId="1">
      <formula>"Encours"</formula>
    </cfRule>
    <cfRule type="cellIs" priority="9" operator="equal" dxfId="0">
      <formula>"Terminer"</formula>
    </cfRule>
  </conditionalFormatting>
  <pageMargins left="0.7" right="0.7" top="0.75" bottom="0.75" header="0.3" footer="0.3"/>
  <pageSetup orientation="portrait" scale="50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7"/>
  <sheetViews>
    <sheetView showGridLines="0" zoomScale="70" zoomScaleNormal="70" workbookViewId="0">
      <selection activeCell="A20" sqref="A14:A55"/>
    </sheetView>
  </sheetViews>
  <sheetFormatPr baseColWidth="8" defaultRowHeight="14.5"/>
  <cols>
    <col width="30.54296875" bestFit="1" customWidth="1" min="1" max="1"/>
    <col width="32.26953125" bestFit="1" customWidth="1" min="2" max="2"/>
    <col width="16.453125" bestFit="1" customWidth="1" min="3" max="3"/>
    <col width="19.7265625" bestFit="1" customWidth="1" min="4" max="4"/>
    <col width="14.26953125" bestFit="1" customWidth="1" min="5" max="5"/>
    <col width="19.7265625" bestFit="1" customWidth="1" min="6" max="6"/>
    <col width="21.453125" bestFit="1" customWidth="1" min="7" max="7"/>
    <col width="19.1796875" bestFit="1" customWidth="1" min="8" max="8"/>
    <col width="18.453125" bestFit="1" customWidth="1" min="9" max="9"/>
    <col width="22.453125" bestFit="1" customWidth="1" min="10" max="10"/>
    <col width="20.453125" bestFit="1" customWidth="1" min="11" max="11"/>
    <col width="11.26953125" customWidth="1" min="13" max="13"/>
  </cols>
  <sheetData>
    <row r="1" ht="21.5" customHeight="1" thickBot="1">
      <c r="A1" s="67" t="inlineStr">
        <is>
          <t>Industrial BU - Tangier - Morocco</t>
        </is>
      </c>
      <c r="B1" s="69" t="n"/>
      <c r="C1" s="70" t="inlineStr">
        <is>
          <t>P02_VS1 - FOR136</t>
        </is>
      </c>
      <c r="D1" s="71" t="n"/>
      <c r="E1" s="71" t="n"/>
      <c r="F1" s="71" t="n"/>
      <c r="G1" s="71" t="n"/>
      <c r="H1" s="71" t="n"/>
      <c r="I1" s="71" t="n"/>
      <c r="J1" s="71" t="n"/>
      <c r="K1" s="72" t="n"/>
      <c r="L1" s="1" t="inlineStr">
        <is>
          <t>Rev</t>
        </is>
      </c>
      <c r="M1" s="2" t="n">
        <v>0</v>
      </c>
    </row>
    <row r="2" ht="24" customHeight="1" thickBot="1">
      <c r="A2" s="73" t="n"/>
      <c r="B2" s="75" t="n"/>
      <c r="C2" s="76" t="inlineStr">
        <is>
          <t xml:space="preserve">Suivi de la Maintenance Corrective  </t>
        </is>
      </c>
      <c r="D2" s="71" t="n"/>
      <c r="E2" s="71" t="n"/>
      <c r="F2" s="71" t="n"/>
      <c r="G2" s="71" t="n"/>
      <c r="H2" s="71" t="n"/>
      <c r="I2" s="71" t="n"/>
      <c r="J2" s="71" t="n"/>
      <c r="K2" s="72" t="n"/>
      <c r="L2" s="1" t="inlineStr">
        <is>
          <t>Date</t>
        </is>
      </c>
      <c r="M2" s="3" t="n">
        <v>45424</v>
      </c>
    </row>
    <row r="3" ht="7.5" customHeight="1"/>
    <row r="4" ht="22.5" customHeight="1">
      <c r="A4" s="77" t="inlineStr">
        <is>
          <t>Analyse des données</t>
        </is>
      </c>
      <c r="B4" s="78" t="n"/>
      <c r="C4" s="78" t="n"/>
      <c r="D4" s="78" t="n"/>
      <c r="E4" s="78" t="n"/>
      <c r="F4" s="78" t="n"/>
      <c r="G4" s="78" t="n"/>
      <c r="H4" s="78" t="n"/>
      <c r="I4" s="78" t="n"/>
      <c r="J4" s="78" t="n"/>
      <c r="K4" s="78" t="n"/>
      <c r="L4" s="78" t="n"/>
      <c r="M4" s="79" t="n"/>
    </row>
    <row r="10">
      <c r="A10" s="18" t="inlineStr">
        <is>
          <t>Mois</t>
        </is>
      </c>
      <c r="B10" t="inlineStr">
        <is>
          <t>(All)</t>
        </is>
      </c>
    </row>
    <row r="11">
      <c r="A11" s="18" t="inlineStr">
        <is>
          <t>Semaine</t>
        </is>
      </c>
      <c r="B11" t="inlineStr">
        <is>
          <t>(All)</t>
        </is>
      </c>
    </row>
    <row r="13">
      <c r="A13" s="18" t="inlineStr">
        <is>
          <t>Row Labels</t>
        </is>
      </c>
      <c r="B13" t="inlineStr">
        <is>
          <t>Sum of Durée de l'Arrêt
(min)</t>
        </is>
      </c>
      <c r="C13" t="inlineStr">
        <is>
          <t>%</t>
        </is>
      </c>
    </row>
    <row r="14">
      <c r="A14" s="19" t="inlineStr">
        <is>
          <t>BAM</t>
        </is>
      </c>
      <c r="B14" t="n">
        <v>700</v>
      </c>
      <c r="C14" s="20">
        <f>B14/SUM($B$14:$B$66)</f>
        <v/>
      </c>
    </row>
    <row r="15">
      <c r="A15" s="19" t="inlineStr">
        <is>
          <t>M4/6</t>
        </is>
      </c>
      <c r="B15" t="n">
        <v>680</v>
      </c>
      <c r="C15" s="20">
        <f>B15/SUM($B$14:$B$66)</f>
        <v/>
      </c>
    </row>
    <row r="16">
      <c r="A16" s="19" t="inlineStr">
        <is>
          <t xml:space="preserve">Ensacheuse Automatique </t>
        </is>
      </c>
      <c r="B16" t="n">
        <v>565</v>
      </c>
      <c r="C16" s="20">
        <f>B16/SUM($B$14:$B$66)</f>
        <v/>
      </c>
    </row>
    <row r="17">
      <c r="A17" s="19" t="inlineStr">
        <is>
          <t>SNK 5</t>
        </is>
      </c>
      <c r="B17" t="n">
        <v>525</v>
      </c>
      <c r="C17" s="20">
        <f>B17/SUM($B$14:$B$66)</f>
        <v/>
      </c>
    </row>
    <row r="18">
      <c r="A18" s="19" t="inlineStr">
        <is>
          <t>Test</t>
        </is>
      </c>
      <c r="B18" t="n">
        <v>255</v>
      </c>
      <c r="C18" s="20">
        <f>B18/SUM($B$14:$B$66)</f>
        <v/>
      </c>
    </row>
    <row r="19">
      <c r="A19" s="19" t="inlineStr">
        <is>
          <t>Komax Gamma</t>
        </is>
      </c>
      <c r="B19" t="n">
        <v>245</v>
      </c>
      <c r="C19" s="20">
        <f>B19/SUM($B$14:$B$66)</f>
        <v/>
      </c>
    </row>
    <row r="20">
      <c r="A20" s="19" t="inlineStr">
        <is>
          <t>EcoCut</t>
        </is>
      </c>
      <c r="B20" t="n">
        <v>200</v>
      </c>
      <c r="C20" s="20">
        <f>B20/SUM($B$14:$B$66)</f>
        <v/>
      </c>
    </row>
    <row r="21">
      <c r="A21" s="19" t="inlineStr">
        <is>
          <t>G-PRESS de Sertissage 2 TE</t>
        </is>
      </c>
      <c r="B21" t="n">
        <v>190</v>
      </c>
      <c r="C21" s="20">
        <f>B21/SUM($B$14:$B$66)</f>
        <v/>
      </c>
    </row>
    <row r="22">
      <c r="A22" s="19" t="inlineStr">
        <is>
          <t>Press Manuel</t>
        </is>
      </c>
      <c r="B22" t="n">
        <v>170</v>
      </c>
      <c r="C22" s="20">
        <f>B22/SUM($B$14:$B$66)</f>
        <v/>
      </c>
    </row>
    <row r="23">
      <c r="A23" s="19" t="inlineStr">
        <is>
          <t>ZS6</t>
        </is>
      </c>
      <c r="B23" t="n">
        <v>140</v>
      </c>
      <c r="C23" s="20">
        <f>B23/SUM($B$14:$B$66)</f>
        <v/>
      </c>
    </row>
    <row r="24">
      <c r="A24" s="19" t="inlineStr">
        <is>
          <t>G-Press</t>
        </is>
      </c>
      <c r="B24" t="n">
        <v>115</v>
      </c>
      <c r="C24" s="20">
        <f>B24/SUM($B$14:$B$66)</f>
        <v/>
      </c>
    </row>
    <row r="25">
      <c r="A25" s="19" t="inlineStr">
        <is>
          <t>HR Dénudeuse 4 fils</t>
        </is>
      </c>
      <c r="B25" t="n">
        <v>105</v>
      </c>
      <c r="C25" s="20">
        <f>B25/SUM($B$14:$B$66)</f>
        <v/>
      </c>
    </row>
    <row r="26">
      <c r="A26" s="19" t="inlineStr">
        <is>
          <t>Winding Machine Stator K11666</t>
        </is>
      </c>
      <c r="B26" t="n">
        <v>105</v>
      </c>
      <c r="C26" s="20">
        <f>B26/SUM($B$14:$B$66)</f>
        <v/>
      </c>
    </row>
    <row r="27">
      <c r="A27" s="19" t="inlineStr">
        <is>
          <t>Applicateur</t>
        </is>
      </c>
      <c r="B27" t="n">
        <v>100</v>
      </c>
      <c r="C27" s="20">
        <f>B27/SUM($B$14:$B$66)</f>
        <v/>
      </c>
    </row>
    <row r="28">
      <c r="A28" s="19" t="inlineStr">
        <is>
          <t>G-PRESS de Sertissage 3 TE</t>
        </is>
      </c>
      <c r="B28" t="n">
        <v>85</v>
      </c>
      <c r="C28" s="20">
        <f>B28/SUM($B$14:$B$66)</f>
        <v/>
      </c>
    </row>
    <row r="29">
      <c r="A29" s="19" t="inlineStr">
        <is>
          <t>Cutting Rail Automatique</t>
        </is>
      </c>
      <c r="B29" t="n">
        <v>75</v>
      </c>
      <c r="C29" s="20">
        <f>B29/SUM($B$14:$B$66)</f>
        <v/>
      </c>
    </row>
    <row r="30">
      <c r="A30" s="19" t="inlineStr">
        <is>
          <t>Denudeuse</t>
        </is>
      </c>
      <c r="B30" t="n">
        <v>75</v>
      </c>
      <c r="C30" s="20">
        <f>B30/SUM($B$14:$B$66)</f>
        <v/>
      </c>
    </row>
    <row r="31">
      <c r="A31" s="19" t="inlineStr">
        <is>
          <t xml:space="preserve">HR Connector assembly </t>
        </is>
      </c>
      <c r="B31" t="n">
        <v>55</v>
      </c>
      <c r="C31" s="20">
        <f>B31/SUM($B$14:$B$66)</f>
        <v/>
      </c>
    </row>
    <row r="32">
      <c r="A32" s="19" t="inlineStr">
        <is>
          <t xml:space="preserve">Alpha Jet Noir </t>
        </is>
      </c>
      <c r="B32" t="n">
        <v>50</v>
      </c>
      <c r="C32" s="20">
        <f>B32/SUM($B$14:$B$66)</f>
        <v/>
      </c>
    </row>
    <row r="33">
      <c r="A33" s="19" t="inlineStr">
        <is>
          <t>Machine de sertissage</t>
        </is>
      </c>
      <c r="B33" t="n">
        <v>50</v>
      </c>
      <c r="C33" s="20">
        <f>B33/SUM($B$14:$B$66)</f>
        <v/>
      </c>
    </row>
    <row r="34">
      <c r="A34" s="19" t="inlineStr">
        <is>
          <t>ZK2.5</t>
        </is>
      </c>
      <c r="B34" t="n">
        <v>45</v>
      </c>
      <c r="C34" s="20">
        <f>B34/SUM($B$14:$B$66)</f>
        <v/>
      </c>
    </row>
    <row r="35">
      <c r="A35" s="19" t="inlineStr">
        <is>
          <t>BOY 3</t>
        </is>
      </c>
      <c r="B35" t="n">
        <v>40</v>
      </c>
      <c r="C35" s="20">
        <f>B35/SUM($B$14:$B$66)</f>
        <v/>
      </c>
    </row>
    <row r="36">
      <c r="A36" s="19" t="inlineStr">
        <is>
          <t>Komax Alpha</t>
        </is>
      </c>
      <c r="B36" t="n">
        <v>35</v>
      </c>
      <c r="C36" s="20">
        <f>B36/SUM($B$14:$B$66)</f>
        <v/>
      </c>
    </row>
    <row r="37">
      <c r="A37" s="19" t="inlineStr">
        <is>
          <t xml:space="preserve">RC </t>
        </is>
      </c>
      <c r="B37" t="n">
        <v>35</v>
      </c>
      <c r="C37" s="20">
        <f>B37/SUM($B$14:$B$66)</f>
        <v/>
      </c>
    </row>
    <row r="38">
      <c r="A38" s="19" t="inlineStr">
        <is>
          <t>Ultrasonic 4</t>
        </is>
      </c>
      <c r="B38" t="n">
        <v>35</v>
      </c>
      <c r="C38" s="20">
        <f>B38/SUM($B$14:$B$66)</f>
        <v/>
      </c>
    </row>
    <row r="39">
      <c r="A39" s="19" t="inlineStr">
        <is>
          <t>Ultrasonic 1</t>
        </is>
      </c>
      <c r="B39" t="n">
        <v>35</v>
      </c>
      <c r="C39" s="20">
        <f>B39/SUM($B$14:$B$66)</f>
        <v/>
      </c>
    </row>
    <row r="40">
      <c r="A40" s="19" t="inlineStr">
        <is>
          <t>Winding Machine Rotor K06677</t>
        </is>
      </c>
      <c r="B40" t="n">
        <v>30</v>
      </c>
      <c r="C40" s="20">
        <f>B40/SUM($B$14:$B$66)</f>
        <v/>
      </c>
    </row>
    <row r="41">
      <c r="A41" s="19" t="inlineStr">
        <is>
          <t>Machine de dénudage</t>
        </is>
      </c>
      <c r="B41" t="n">
        <v>30</v>
      </c>
      <c r="C41" s="20">
        <f>B41/SUM($B$14:$B$66)</f>
        <v/>
      </c>
    </row>
    <row r="42">
      <c r="A42" s="19" t="inlineStr">
        <is>
          <t>Test 2 : MARTA 2-2</t>
        </is>
      </c>
      <c r="B42" t="n">
        <v>30</v>
      </c>
      <c r="C42" s="20">
        <f>B42/SUM($B$14:$B$66)</f>
        <v/>
      </c>
    </row>
    <row r="43">
      <c r="A43" s="19" t="inlineStr">
        <is>
          <t xml:space="preserve">Power Strip 1 </t>
        </is>
      </c>
      <c r="B43" t="n">
        <v>30</v>
      </c>
      <c r="C43" s="20">
        <f>B43/SUM($B$14:$B$66)</f>
        <v/>
      </c>
    </row>
    <row r="44">
      <c r="A44" s="19" t="inlineStr">
        <is>
          <t>ZS4</t>
        </is>
      </c>
      <c r="B44" t="n">
        <v>30</v>
      </c>
      <c r="C44" s="20">
        <f>B44/SUM($B$14:$B$66)</f>
        <v/>
      </c>
    </row>
    <row r="45">
      <c r="A45" s="19" t="inlineStr">
        <is>
          <t>SNK 6</t>
        </is>
      </c>
      <c r="B45" t="n">
        <v>25</v>
      </c>
      <c r="C45" s="20">
        <f>B45/SUM($B$14:$B$66)</f>
        <v/>
      </c>
    </row>
    <row r="46">
      <c r="A46" s="19" t="inlineStr">
        <is>
          <t>BAZ1</t>
        </is>
      </c>
      <c r="B46" t="n">
        <v>25</v>
      </c>
      <c r="C46" s="20">
        <f>B46/SUM($B$14:$B$66)</f>
        <v/>
      </c>
    </row>
    <row r="47">
      <c r="A47" s="19" t="inlineStr">
        <is>
          <t>G-PRESS de Sertissage 4-AMP</t>
        </is>
      </c>
      <c r="B47" t="n">
        <v>25</v>
      </c>
      <c r="C47" s="20">
        <f>B47/SUM($B$14:$B$66)</f>
        <v/>
      </c>
    </row>
    <row r="48">
      <c r="A48" s="19" t="inlineStr">
        <is>
          <t xml:space="preserve">Laser Marking System </t>
        </is>
      </c>
      <c r="B48" t="n">
        <v>20</v>
      </c>
      <c r="C48" s="20">
        <f>B48/SUM($B$14:$B$66)</f>
        <v/>
      </c>
    </row>
    <row r="49">
      <c r="A49" s="19" t="inlineStr">
        <is>
          <t>HR Gpress StripCrimp</t>
        </is>
      </c>
      <c r="B49" t="n">
        <v>20</v>
      </c>
      <c r="C49" s="20">
        <f>B49/SUM($B$14:$B$66)</f>
        <v/>
      </c>
    </row>
    <row r="50">
      <c r="A50" s="19" t="inlineStr">
        <is>
          <t>Test 2 : MARTA 4-1</t>
        </is>
      </c>
      <c r="B50" t="n">
        <v>20</v>
      </c>
      <c r="C50" s="20">
        <f>B50/SUM($B$14:$B$66)</f>
        <v/>
      </c>
    </row>
    <row r="51">
      <c r="A51" s="19" t="inlineStr">
        <is>
          <t>SNK 2</t>
        </is>
      </c>
      <c r="B51" t="n">
        <v>20</v>
      </c>
      <c r="C51" s="20">
        <f>B51/SUM($B$14:$B$66)</f>
        <v/>
      </c>
    </row>
    <row r="52">
      <c r="A52" s="19" t="inlineStr">
        <is>
          <t>G-PRESS de Sertissage 1 TE</t>
        </is>
      </c>
      <c r="B52" t="n">
        <v>15</v>
      </c>
      <c r="C52" s="20">
        <f>B52/SUM($B$14:$B$66)</f>
        <v/>
      </c>
    </row>
    <row r="53">
      <c r="A53" s="19" t="inlineStr">
        <is>
          <t>BOY 5</t>
        </is>
      </c>
      <c r="B53" t="n">
        <v>15</v>
      </c>
      <c r="C53" s="20">
        <f>B53/SUM($B$14:$B$66)</f>
        <v/>
      </c>
    </row>
    <row r="54">
      <c r="A54" s="19" t="inlineStr">
        <is>
          <t>Power Strip 2</t>
        </is>
      </c>
      <c r="B54" t="n">
        <v>10</v>
      </c>
      <c r="C54" s="20">
        <f>B54/SUM($B$14:$B$66)</f>
        <v/>
      </c>
    </row>
    <row r="55">
      <c r="A55" s="19" t="inlineStr">
        <is>
          <t>(blank)</t>
        </is>
      </c>
      <c r="C55" s="20">
        <f>B55/SUM($B$14:$B$66)</f>
        <v/>
      </c>
    </row>
    <row r="56">
      <c r="A56" s="19" t="inlineStr">
        <is>
          <t>Grand Total</t>
        </is>
      </c>
      <c r="B56" t="n">
        <v>5055</v>
      </c>
      <c r="C56" s="20">
        <f>B56/SUM($B$14:$B$66)</f>
        <v/>
      </c>
    </row>
    <row r="57">
      <c r="C57" s="20">
        <f>B57/SUM($B$14:$B$66)</f>
        <v/>
      </c>
    </row>
    <row r="58">
      <c r="C58" s="20">
        <f>B58/SUM($B$14:$B$66)</f>
        <v/>
      </c>
    </row>
    <row r="59">
      <c r="C59" s="20">
        <f>B59/SUM($B$14:$B$66)</f>
        <v/>
      </c>
    </row>
    <row r="60">
      <c r="C60" s="20">
        <f>B60/SUM($B$14:$B$66)</f>
        <v/>
      </c>
    </row>
    <row r="61">
      <c r="C61" s="20">
        <f>B61/SUM($B$14:$B$66)</f>
        <v/>
      </c>
    </row>
    <row r="62">
      <c r="C62" s="20">
        <f>B62/SUM($B$14:$B$66)</f>
        <v/>
      </c>
    </row>
    <row r="63">
      <c r="C63" s="20">
        <f>B63/SUM($B$14:$B$66)</f>
        <v/>
      </c>
    </row>
    <row r="64">
      <c r="C64" s="20">
        <f>B64/SUM($B$14:$B$66)</f>
        <v/>
      </c>
    </row>
    <row r="65">
      <c r="C65" s="20">
        <f>B65/SUM($B$14:$B$66)</f>
        <v/>
      </c>
    </row>
    <row r="66">
      <c r="C66" s="20">
        <f>B66/SUM($B$14:$B$66)</f>
        <v/>
      </c>
    </row>
    <row r="67">
      <c r="C67" s="20">
        <f>B67/SUM($B$14:$B$66)</f>
        <v/>
      </c>
    </row>
  </sheetData>
  <mergeCells count="4">
    <mergeCell ref="A1:B2"/>
    <mergeCell ref="C2:K2"/>
    <mergeCell ref="C1:K1"/>
    <mergeCell ref="A4:M4"/>
  </mergeCells>
  <pageMargins left="0.7" right="0.7" top="0.75" bottom="0.75" header="0.3" footer="0.3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L14"/>
  <sheetViews>
    <sheetView showGridLines="0" topLeftCell="A4" workbookViewId="0">
      <selection activeCell="G7" sqref="G7"/>
    </sheetView>
  </sheetViews>
  <sheetFormatPr baseColWidth="8" defaultRowHeight="14.5"/>
  <cols>
    <col width="1.54296875" customWidth="1" min="1" max="1"/>
    <col width="12.54296875" customWidth="1" min="2" max="2"/>
    <col width="16.08984375" customWidth="1" min="3" max="3"/>
    <col width="27.1796875" customWidth="1" min="4" max="4"/>
    <col width="13.7265625" customWidth="1" min="5" max="5"/>
    <col width="21.1796875" customWidth="1" min="6" max="6"/>
    <col width="31" customWidth="1" min="7" max="7"/>
    <col width="15.26953125" customWidth="1" min="8" max="8"/>
    <col width="13.81640625" customWidth="1" min="9" max="9"/>
    <col width="13" customWidth="1" min="10" max="11"/>
    <col width="11.26953125" customWidth="1" min="12" max="12"/>
  </cols>
  <sheetData>
    <row r="1" ht="21.5" customHeight="1" thickBot="1">
      <c r="B1" s="67" t="inlineStr">
        <is>
          <t>Industrial BU - Tangier - Morocco</t>
        </is>
      </c>
      <c r="C1" s="69" t="n"/>
      <c r="D1" s="70" t="inlineStr">
        <is>
          <t>P02_VS1 - FOR136</t>
        </is>
      </c>
      <c r="E1" s="71" t="n"/>
      <c r="F1" s="71" t="n"/>
      <c r="G1" s="71" t="n"/>
      <c r="H1" s="71" t="n"/>
      <c r="I1" s="71" t="n"/>
      <c r="J1" s="72" t="n"/>
      <c r="K1" s="1" t="inlineStr">
        <is>
          <t>Rev</t>
        </is>
      </c>
      <c r="L1" s="2" t="n">
        <v>0</v>
      </c>
    </row>
    <row r="2" ht="24" customHeight="1" thickBot="1">
      <c r="B2" s="73" t="n"/>
      <c r="C2" s="75" t="n"/>
      <c r="D2" s="76" t="inlineStr">
        <is>
          <t xml:space="preserve">Suivi de la Maintenance Corrective  </t>
        </is>
      </c>
      <c r="E2" s="71" t="n"/>
      <c r="F2" s="71" t="n"/>
      <c r="G2" s="71" t="n"/>
      <c r="H2" s="71" t="n"/>
      <c r="I2" s="71" t="n"/>
      <c r="J2" s="72" t="n"/>
      <c r="K2" s="1" t="inlineStr">
        <is>
          <t>Date</t>
        </is>
      </c>
      <c r="L2" s="3" t="n">
        <v>45424</v>
      </c>
    </row>
    <row r="3" ht="7.5" customHeight="1"/>
    <row r="4" ht="22.5" customHeight="1">
      <c r="B4" s="77" t="inlineStr">
        <is>
          <t>Plan d'action</t>
        </is>
      </c>
      <c r="C4" s="78" t="n"/>
      <c r="D4" s="78" t="n"/>
      <c r="E4" s="78" t="n"/>
      <c r="F4" s="78" t="n"/>
      <c r="G4" s="78" t="n"/>
      <c r="H4" s="78" t="n"/>
      <c r="I4" s="78" t="n"/>
      <c r="J4" s="78" t="n"/>
      <c r="K4" s="78" t="n"/>
      <c r="L4" s="79" t="n"/>
    </row>
    <row r="5" ht="15" customHeight="1" thickBot="1">
      <c r="B5" t="inlineStr">
        <is>
          <t>Note: (*) définir une durée de surveillance de réapparition du problème, si le problème ne réapparét pas donc l'action corrective est efficace, sinon refaire l'analyse.</t>
        </is>
      </c>
    </row>
    <row r="6" ht="29.5" customFormat="1" customHeight="1" s="5" thickBot="1">
      <c r="B6" s="6" t="inlineStr">
        <is>
          <t>Mois / Année</t>
        </is>
      </c>
      <c r="C6" s="66" t="inlineStr">
        <is>
          <t xml:space="preserve">Machine </t>
        </is>
      </c>
      <c r="D6" s="66" t="inlineStr">
        <is>
          <t>Description du problème</t>
        </is>
      </c>
      <c r="E6" s="66" t="inlineStr">
        <is>
          <t>Analyse des cause</t>
        </is>
      </c>
      <c r="F6" s="81" t="n"/>
      <c r="G6" s="66" t="inlineStr">
        <is>
          <t>Actions correctives</t>
        </is>
      </c>
      <c r="H6" s="66" t="inlineStr">
        <is>
          <t>Responsables</t>
        </is>
      </c>
      <c r="I6" s="8" t="inlineStr">
        <is>
          <t>Date prévue de réalisation</t>
        </is>
      </c>
      <c r="J6" s="8" t="inlineStr">
        <is>
          <t>Date de réalisation</t>
        </is>
      </c>
      <c r="K6" s="8" t="inlineStr">
        <is>
          <t>Statut de l'action</t>
        </is>
      </c>
      <c r="L6" s="9" t="inlineStr">
        <is>
          <t>Efficacité *</t>
        </is>
      </c>
    </row>
    <row r="7" ht="29" customFormat="1" customHeight="1" s="4">
      <c r="B7" s="82" t="n"/>
      <c r="C7" s="83" t="n"/>
      <c r="D7" s="84" t="n"/>
      <c r="E7" s="10" t="inlineStr">
        <is>
          <t>Cause d'occurance:</t>
        </is>
      </c>
      <c r="F7" s="11" t="n"/>
      <c r="G7" s="11" t="n"/>
      <c r="H7" s="12" t="n"/>
      <c r="I7" s="12" t="n"/>
      <c r="J7" s="12" t="n"/>
      <c r="K7" s="12" t="n"/>
      <c r="L7" s="13" t="n"/>
    </row>
    <row r="8" ht="29.5" customFormat="1" customHeight="1" s="4" thickBot="1">
      <c r="B8" s="85" t="n"/>
      <c r="C8" s="86" t="n"/>
      <c r="D8" s="87" t="n"/>
      <c r="E8" s="14" t="inlineStr">
        <is>
          <t>Cause de non-détection</t>
        </is>
      </c>
      <c r="F8" s="15" t="n"/>
      <c r="G8" s="15" t="n"/>
      <c r="H8" s="16" t="n"/>
      <c r="I8" s="16" t="n"/>
      <c r="J8" s="16" t="n"/>
      <c r="K8" s="16" t="n"/>
      <c r="L8" s="17" t="n"/>
    </row>
    <row r="9" ht="29" customFormat="1" customHeight="1" s="4">
      <c r="B9" s="88" t="n"/>
      <c r="C9" s="83" t="n"/>
      <c r="D9" s="89" t="n"/>
      <c r="E9" s="10" t="inlineStr">
        <is>
          <t>Cause d'occurance:</t>
        </is>
      </c>
      <c r="F9" s="11" t="n"/>
      <c r="G9" s="11" t="n"/>
      <c r="H9" s="12" t="n"/>
      <c r="I9" s="12" t="n"/>
      <c r="J9" s="12" t="n"/>
      <c r="K9" s="12" t="n"/>
      <c r="L9" s="13" t="n"/>
    </row>
    <row r="10" ht="29.5" customFormat="1" customHeight="1" s="4" thickBot="1">
      <c r="B10" s="85" t="n"/>
      <c r="C10" s="86" t="n"/>
      <c r="D10" s="87" t="n"/>
      <c r="E10" s="14" t="inlineStr">
        <is>
          <t>Cause de non-détection</t>
        </is>
      </c>
      <c r="F10" s="15" t="n"/>
      <c r="G10" s="15" t="n"/>
      <c r="H10" s="16" t="n"/>
      <c r="I10" s="16" t="n"/>
      <c r="J10" s="16" t="n"/>
      <c r="K10" s="16" t="n"/>
      <c r="L10" s="17" t="n"/>
    </row>
    <row r="11" ht="29" customFormat="1" customHeight="1" s="4">
      <c r="B11" s="88" t="n"/>
      <c r="C11" s="83" t="n"/>
      <c r="D11" s="89" t="n"/>
      <c r="E11" s="10" t="inlineStr">
        <is>
          <t>Cause d'occurance:</t>
        </is>
      </c>
      <c r="F11" s="11" t="n"/>
      <c r="G11" s="11" t="n"/>
      <c r="H11" s="12" t="n"/>
      <c r="I11" s="12" t="n"/>
      <c r="J11" s="12" t="n"/>
      <c r="K11" s="12" t="n"/>
      <c r="L11" s="13" t="n"/>
    </row>
    <row r="12" ht="29.5" customFormat="1" customHeight="1" s="4" thickBot="1">
      <c r="B12" s="85" t="n"/>
      <c r="C12" s="86" t="n"/>
      <c r="D12" s="87" t="n"/>
      <c r="E12" s="14" t="inlineStr">
        <is>
          <t>Cause de non-détection</t>
        </is>
      </c>
      <c r="F12" s="15" t="n"/>
      <c r="G12" s="15" t="n"/>
      <c r="H12" s="16" t="n"/>
      <c r="I12" s="16" t="n"/>
      <c r="J12" s="16" t="n"/>
      <c r="K12" s="16" t="n"/>
      <c r="L12" s="17" t="n"/>
    </row>
    <row r="13" ht="29" customFormat="1" customHeight="1" s="4">
      <c r="B13" s="88" t="n"/>
      <c r="C13" s="83" t="n"/>
      <c r="D13" s="89" t="n"/>
      <c r="E13" s="10" t="inlineStr">
        <is>
          <t>Cause d'occurance:</t>
        </is>
      </c>
      <c r="F13" s="11" t="n"/>
      <c r="G13" s="11" t="n"/>
      <c r="H13" s="12" t="n"/>
      <c r="I13" s="12" t="n"/>
      <c r="J13" s="12" t="n"/>
      <c r="K13" s="12" t="n"/>
      <c r="L13" s="13" t="n"/>
    </row>
    <row r="14" ht="29.5" customFormat="1" customHeight="1" s="4" thickBot="1">
      <c r="B14" s="85" t="n"/>
      <c r="C14" s="86" t="n"/>
      <c r="D14" s="87" t="n"/>
      <c r="E14" s="14" t="inlineStr">
        <is>
          <t>Cause de non-détection</t>
        </is>
      </c>
      <c r="F14" s="15" t="n"/>
      <c r="G14" s="15" t="n"/>
      <c r="H14" s="16" t="n"/>
      <c r="I14" s="16" t="n"/>
      <c r="J14" s="16" t="n"/>
      <c r="K14" s="16" t="n"/>
      <c r="L14" s="17" t="n"/>
    </row>
  </sheetData>
  <mergeCells count="17">
    <mergeCell ref="C9:C10"/>
    <mergeCell ref="B9:B10"/>
    <mergeCell ref="B4:L4"/>
    <mergeCell ref="D9:D10"/>
    <mergeCell ref="E6:F6"/>
    <mergeCell ref="B13:B14"/>
    <mergeCell ref="D13:D14"/>
    <mergeCell ref="B1:C2"/>
    <mergeCell ref="C7:C8"/>
    <mergeCell ref="B7:B8"/>
    <mergeCell ref="B11:B12"/>
    <mergeCell ref="D7:D8"/>
    <mergeCell ref="D11:D12"/>
    <mergeCell ref="C11:C12"/>
    <mergeCell ref="D2:J2"/>
    <mergeCell ref="D1:J1"/>
    <mergeCell ref="C13:C14"/>
  </mergeCells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80"/>
  <sheetViews>
    <sheetView showGridLines="0" zoomScale="70" zoomScaleNormal="70" workbookViewId="0">
      <selection activeCell="F30" sqref="F30"/>
    </sheetView>
  </sheetViews>
  <sheetFormatPr baseColWidth="8" defaultRowHeight="14.5"/>
  <cols>
    <col width="21.81640625" bestFit="1" customWidth="1" min="1" max="1"/>
    <col width="17" customWidth="1" min="2" max="2"/>
    <col width="20.453125" customWidth="1" style="4" min="3" max="3"/>
    <col width="40.81640625" bestFit="1" customWidth="1" style="39" min="4" max="4"/>
    <col width="15.26953125" customWidth="1" min="5" max="5"/>
    <col width="39.36328125" customWidth="1" min="6" max="6"/>
    <col width="10.54296875" customWidth="1" min="7" max="7"/>
    <col width="34.81640625" bestFit="1" customWidth="1" min="8" max="8"/>
    <col width="30.26953125" customWidth="1" min="9" max="9"/>
    <col width="20" customWidth="1" min="10" max="10"/>
    <col width="36" bestFit="1" customWidth="1" min="11" max="11"/>
    <col width="33.54296875" bestFit="1" customWidth="1" min="12" max="12"/>
    <col width="29.1796875" customWidth="1" min="13" max="13"/>
    <col width="23.7265625" customWidth="1" min="14" max="14"/>
    <col width="20.6328125" customWidth="1" min="15" max="15"/>
    <col width="22.36328125" customWidth="1" min="16" max="16"/>
    <col width="19.1796875" customWidth="1" min="17" max="17"/>
    <col width="29.08984375" customWidth="1" min="18" max="18"/>
    <col width="23.08984375" customWidth="1" min="19" max="19"/>
    <col width="17.81640625" customWidth="1" min="20" max="20"/>
    <col width="14.6328125" customWidth="1" min="21" max="21"/>
  </cols>
  <sheetData>
    <row r="1" ht="21.5" customHeight="1" thickBot="1">
      <c r="A1" s="67" t="inlineStr">
        <is>
          <t>Industrial BU - Tangier - Morocco</t>
        </is>
      </c>
      <c r="B1" s="69" t="n"/>
      <c r="C1" s="70" t="inlineStr">
        <is>
          <t>P02_VS1 - FOR136</t>
        </is>
      </c>
      <c r="D1" s="71" t="n"/>
      <c r="E1" s="71" t="n"/>
      <c r="F1" s="71" t="n"/>
      <c r="G1" s="71" t="n"/>
      <c r="H1" s="71" t="n"/>
      <c r="I1" s="71" t="n"/>
      <c r="J1" s="71" t="n"/>
      <c r="K1" s="71" t="n"/>
      <c r="L1" s="72" t="n"/>
      <c r="M1" s="1" t="inlineStr">
        <is>
          <t>Rev</t>
        </is>
      </c>
      <c r="N1" s="2" t="n">
        <v>0</v>
      </c>
    </row>
    <row r="2" ht="24" customHeight="1" thickBot="1">
      <c r="A2" s="73" t="n"/>
      <c r="B2" s="75" t="n"/>
      <c r="C2" s="76" t="inlineStr">
        <is>
          <t xml:space="preserve">Suivi de la Maintenance Corrective  </t>
        </is>
      </c>
      <c r="D2" s="71" t="n"/>
      <c r="E2" s="71" t="n"/>
      <c r="F2" s="71" t="n"/>
      <c r="G2" s="71" t="n"/>
      <c r="H2" s="71" t="n"/>
      <c r="I2" s="71" t="n"/>
      <c r="J2" s="71" t="n"/>
      <c r="K2" s="71" t="n"/>
      <c r="L2" s="72" t="n"/>
      <c r="M2" s="1" t="inlineStr">
        <is>
          <t>Date</t>
        </is>
      </c>
      <c r="N2" s="3" t="n">
        <v>45424</v>
      </c>
    </row>
    <row r="3" ht="7.5" customHeight="1"/>
    <row r="4" ht="22.5" customHeight="1">
      <c r="A4" s="77" t="inlineStr">
        <is>
          <t>Analyse des données</t>
        </is>
      </c>
      <c r="B4" s="78" t="n"/>
      <c r="C4" s="78" t="n"/>
      <c r="D4" s="78" t="n"/>
      <c r="E4" s="78" t="n"/>
      <c r="F4" s="78" t="n"/>
      <c r="G4" s="78" t="n"/>
      <c r="H4" s="78" t="n"/>
      <c r="I4" s="78" t="n"/>
      <c r="J4" s="78" t="n"/>
      <c r="K4" s="78" t="n"/>
      <c r="L4" s="78" t="n"/>
      <c r="M4" s="78" t="n"/>
      <c r="N4" s="79" t="n"/>
    </row>
    <row r="5"/>
    <row r="6"/>
    <row r="7" ht="21.5" customHeight="1" thickBot="1">
      <c r="I7" s="26" t="n"/>
    </row>
    <row r="8" ht="21" customHeight="1">
      <c r="A8" s="27" t="inlineStr">
        <is>
          <t>Intervenant</t>
        </is>
      </c>
      <c r="B8" s="29" t="inlineStr">
        <is>
          <t>Status intervention</t>
        </is>
      </c>
      <c r="C8" s="22" t="inlineStr">
        <is>
          <t>type d'arrêt</t>
        </is>
      </c>
      <c r="D8" s="27" t="inlineStr">
        <is>
          <t>TYPE D'INTERVENTION</t>
        </is>
      </c>
      <c r="E8" s="27" t="inlineStr">
        <is>
          <t>Shift</t>
        </is>
      </c>
      <c r="F8" s="21" t="inlineStr">
        <is>
          <t>Projet</t>
        </is>
      </c>
      <c r="H8" s="40" t="inlineStr">
        <is>
          <t>Cable</t>
        </is>
      </c>
      <c r="I8" s="40" t="inlineStr">
        <is>
          <t>BTB</t>
        </is>
      </c>
      <c r="J8" s="40" t="inlineStr">
        <is>
          <t>IDC</t>
        </is>
      </c>
      <c r="K8" s="40" t="inlineStr">
        <is>
          <t>Maxibridge_Female</t>
        </is>
      </c>
      <c r="L8" s="40" t="inlineStr">
        <is>
          <t>MCB_Female</t>
        </is>
      </c>
      <c r="M8" s="40" t="inlineStr">
        <is>
          <t>MCB_Male</t>
        </is>
      </c>
      <c r="N8" s="40" t="inlineStr">
        <is>
          <t>MCC_180_Female</t>
        </is>
      </c>
      <c r="O8" s="40" t="inlineStr">
        <is>
          <t>MCC_180_Male</t>
        </is>
      </c>
      <c r="P8" s="40" t="inlineStr">
        <is>
          <t>MCC_90_Female</t>
        </is>
      </c>
      <c r="Q8" s="40" t="inlineStr">
        <is>
          <t>MCC_90_Male</t>
        </is>
      </c>
      <c r="R8" s="40" t="inlineStr">
        <is>
          <t>MCC_90_Male_Female</t>
        </is>
      </c>
      <c r="S8" s="40" t="inlineStr">
        <is>
          <t>Power_Connector</t>
        </is>
      </c>
      <c r="T8" s="40" t="inlineStr">
        <is>
          <t>RWB_Female</t>
        </is>
      </c>
      <c r="U8" s="40" t="inlineStr">
        <is>
          <t>RWB Male</t>
        </is>
      </c>
    </row>
    <row r="9" ht="21" customHeight="1">
      <c r="A9" s="28" t="inlineStr">
        <is>
          <t>BEN DAOUD MOHAMED</t>
        </is>
      </c>
      <c r="B9" s="30" t="inlineStr">
        <is>
          <t>Terminer</t>
        </is>
      </c>
      <c r="C9" s="24" t="inlineStr">
        <is>
          <t>Maintenance</t>
        </is>
      </c>
      <c r="D9" s="32" t="inlineStr">
        <is>
          <t>ELECTRIQUE</t>
        </is>
      </c>
      <c r="E9" s="28" t="inlineStr">
        <is>
          <t>6h-14h</t>
        </is>
      </c>
      <c r="F9" s="23" t="inlineStr">
        <is>
          <t>Cable</t>
        </is>
      </c>
      <c r="H9" s="23" t="inlineStr">
        <is>
          <t>AIR WIRE STRIPPER_00465</t>
        </is>
      </c>
      <c r="I9" s="23" t="inlineStr">
        <is>
          <t>Assembly board to board II A_501170</t>
        </is>
      </c>
      <c r="J9" s="23" t="inlineStr">
        <is>
          <t>IDC_Packing machine_01752</t>
        </is>
      </c>
      <c r="K9" s="23" t="inlineStr">
        <is>
          <t>Maxibridge Female Line 4_00865</t>
        </is>
      </c>
      <c r="L9" s="23" t="inlineStr">
        <is>
          <t>Microbridge Female_Camera inspection_741159 (02252)</t>
        </is>
      </c>
      <c r="M9" s="23" t="inlineStr">
        <is>
          <t>MCB Male_Packing  BK-05_582296</t>
        </is>
      </c>
      <c r="N9" s="23" t="inlineStr">
        <is>
          <t>MCC 180 Female_DRCB_Eberhard 5_582134 (01767)</t>
        </is>
      </c>
      <c r="O9" s="23" t="inlineStr">
        <is>
          <t>MCC 180 Male EOL_01833</t>
        </is>
      </c>
      <c r="P9" s="23" t="inlineStr">
        <is>
          <t>MCC 90 Female_Eberhard7_582155</t>
        </is>
      </c>
      <c r="Q9" s="23" t="inlineStr">
        <is>
          <t>MCC 90 Male_Eberhard 10_582156</t>
        </is>
      </c>
      <c r="R9" s="23" t="inlineStr">
        <is>
          <t>MCC 90_Printing machine_02213</t>
        </is>
      </c>
      <c r="S9" s="23" t="inlineStr">
        <is>
          <t>Clip Insert M/C _01766</t>
        </is>
      </c>
      <c r="T9" s="23" t="inlineStr">
        <is>
          <t>Cutting Shield female(reeling system)_51664</t>
        </is>
      </c>
      <c r="U9" s="23" t="inlineStr">
        <is>
          <t>Cutting Shield Female_02163</t>
        </is>
      </c>
    </row>
    <row r="10" ht="21" customHeight="1">
      <c r="A10" s="28" t="inlineStr">
        <is>
          <t>NAOUFAL MAFHOUM</t>
        </is>
      </c>
      <c r="B10" s="31" t="inlineStr">
        <is>
          <t>En cours</t>
        </is>
      </c>
      <c r="C10" s="25" t="inlineStr">
        <is>
          <t>Production</t>
        </is>
      </c>
      <c r="D10" s="28" t="inlineStr">
        <is>
          <t>MECANIQUE</t>
        </is>
      </c>
      <c r="E10" s="28" t="inlineStr">
        <is>
          <t>14h-22h</t>
        </is>
      </c>
      <c r="F10" s="23" t="inlineStr">
        <is>
          <t>BTB</t>
        </is>
      </c>
      <c r="H10" s="23" t="inlineStr">
        <is>
          <t>AIR WIRE STRIPPER_00466</t>
        </is>
      </c>
      <c r="I10" s="23" t="inlineStr">
        <is>
          <t>Assembly board to board II B_501595</t>
        </is>
      </c>
      <c r="J10" s="23" t="n"/>
      <c r="K10" s="23" t="inlineStr">
        <is>
          <t>Maxibridge Female Line 4_Printing CRT4A7I9J</t>
        </is>
      </c>
      <c r="L10" s="23" t="inlineStr">
        <is>
          <t>Microbridge Female_Eberhard8_582313 (02250)</t>
        </is>
      </c>
      <c r="M10" s="23" t="inlineStr">
        <is>
          <t>MCB Male_Universal OVEN XUE490_02344</t>
        </is>
      </c>
      <c r="N10" s="23" t="inlineStr">
        <is>
          <t>MCC 180 Female_EOL neunman machine_582188 (02357)</t>
        </is>
      </c>
      <c r="O10" s="23" t="inlineStr">
        <is>
          <t>MCC 180 Male_DRCQ_Eberhard 6_582135 (01771)</t>
        </is>
      </c>
      <c r="P10" s="23" t="inlineStr">
        <is>
          <t>MCC Female 90°_Camera inspection_741200</t>
        </is>
      </c>
      <c r="Q10" s="23" t="inlineStr">
        <is>
          <t>MCC Male 90°_Camera Inspection_741068</t>
        </is>
      </c>
      <c r="R10" s="23" t="inlineStr">
        <is>
          <t>MCC 90°_Packing machine_02211 (241147)</t>
        </is>
      </c>
      <c r="S10" s="23" t="inlineStr">
        <is>
          <t>Cutting Contact Siemens_541174 (02346)</t>
        </is>
      </c>
      <c r="T10" s="23" t="inlineStr">
        <is>
          <t>RWB Female_Camera testing machine_741061 (01755) intergrated in the EOL</t>
        </is>
      </c>
      <c r="U10" s="23" t="inlineStr">
        <is>
          <t>Feeder system for maunal cutting sheild_541070</t>
        </is>
      </c>
    </row>
    <row r="11" ht="21" customHeight="1">
      <c r="A11" s="28" t="n"/>
      <c r="B11" s="23" t="n"/>
      <c r="C11" s="28" t="n"/>
      <c r="D11" s="28" t="inlineStr">
        <is>
          <t>PNEUMATIQUE</t>
        </is>
      </c>
      <c r="E11" s="28" t="inlineStr">
        <is>
          <t>22h-6h</t>
        </is>
      </c>
      <c r="F11" s="23" t="inlineStr">
        <is>
          <t>IDC</t>
        </is>
      </c>
      <c r="H11" s="23" t="inlineStr">
        <is>
          <t>ASSY KOSAL CONTACT_00163</t>
        </is>
      </c>
      <c r="I11" s="23" t="inlineStr">
        <is>
          <t>BTB_Camera inspection_741112</t>
        </is>
      </c>
      <c r="J11" s="23" t="n"/>
      <c r="K11" s="23" t="inlineStr">
        <is>
          <t>Maxibridge Female Line 5_01209</t>
        </is>
      </c>
      <c r="L11" s="23" t="n"/>
      <c r="M11" s="23" t="inlineStr">
        <is>
          <t>Microbridge Male_Camera inspection_741160</t>
        </is>
      </c>
      <c r="N11" s="23" t="inlineStr">
        <is>
          <t>MCC 180 Female_Printing CRACTB9B3E_01332 intergrated in the EOL</t>
        </is>
      </c>
      <c r="O11" s="23" t="inlineStr">
        <is>
          <t>MCC 180 Male_Packing machine intergrated in the EOL</t>
        </is>
      </c>
      <c r="P11" s="23" t="n"/>
      <c r="Q11" s="23" t="n"/>
      <c r="R11" s="23" t="n"/>
      <c r="S11" s="23" t="inlineStr">
        <is>
          <t>Maxibridge camera Inspection_741156 (01372)</t>
        </is>
      </c>
      <c r="T11" s="23" t="inlineStr">
        <is>
          <t>RWB Female_Eberhard_Contact assembly machine  MES 529_01754</t>
        </is>
      </c>
      <c r="U11" s="23" t="inlineStr">
        <is>
          <t>KGK CCS-R 50 Micron_01832</t>
        </is>
      </c>
    </row>
    <row r="12" ht="21" customHeight="1">
      <c r="A12" s="28" t="n"/>
      <c r="B12" s="23" t="n"/>
      <c r="C12" s="28" t="n"/>
      <c r="D12" s="28" t="inlineStr">
        <is>
          <t>HYDRAULIQUE</t>
        </is>
      </c>
      <c r="E12" s="28" t="n"/>
      <c r="F12" s="23" t="inlineStr">
        <is>
          <t>Maxibridge_Female</t>
        </is>
      </c>
      <c r="H12" s="23" t="inlineStr">
        <is>
          <t>Computerized wire cutting and Stripping_01412</t>
        </is>
      </c>
      <c r="I12" s="23" t="inlineStr">
        <is>
          <t>E-Test Leshin Lx650_LX 164235</t>
        </is>
      </c>
      <c r="J12" s="23" t="n"/>
      <c r="K12" s="23" t="inlineStr">
        <is>
          <t>Maxibridge Female Line 5_Printing CRTB7F3J</t>
        </is>
      </c>
      <c r="L12" s="23" t="n"/>
      <c r="M12" s="23" t="inlineStr">
        <is>
          <t>Microbridge Male_Eberhard9_Contact insert_582297</t>
        </is>
      </c>
      <c r="N12" s="23" t="inlineStr">
        <is>
          <t>MCC 180° Female_Packing machine intergrated in the EOL</t>
        </is>
      </c>
      <c r="O12" s="23" t="inlineStr">
        <is>
          <t>MCC 180 Male_Printing machine CRACTSC2B0D_02054 intergrated in the EOL</t>
        </is>
      </c>
      <c r="P12" s="23" t="n"/>
      <c r="Q12" s="23" t="n"/>
      <c r="R12" s="23" t="n"/>
      <c r="S12" s="23" t="inlineStr">
        <is>
          <t>Maxibridge Seal machine_01725</t>
        </is>
      </c>
      <c r="T12" s="23" t="inlineStr">
        <is>
          <t>RWB Female_Eberhard_Contact assembly machine MES 545_01758</t>
        </is>
      </c>
      <c r="U12" s="23" t="inlineStr">
        <is>
          <t>RWB Male_Camera inspection_741136 (01756)</t>
        </is>
      </c>
    </row>
    <row r="13" ht="21" customHeight="1">
      <c r="A13" s="28" t="n"/>
      <c r="B13" s="23" t="n"/>
      <c r="C13" s="28" t="n"/>
      <c r="D13" s="28" t="inlineStr">
        <is>
          <t>ELECTRONIQUE</t>
        </is>
      </c>
      <c r="E13" s="28" t="n"/>
      <c r="F13" s="23" t="inlineStr">
        <is>
          <t>MCB_Female</t>
        </is>
      </c>
      <c r="H13" s="23" t="inlineStr">
        <is>
          <t>Junquan cutting and stripping_00610</t>
        </is>
      </c>
      <c r="I13" s="23" t="inlineStr">
        <is>
          <t>Optimel Ferite_01530</t>
        </is>
      </c>
      <c r="J13" s="23" t="n"/>
      <c r="K13" s="23" t="inlineStr">
        <is>
          <t>Maxibridge Female Line 6_01356</t>
        </is>
      </c>
      <c r="L13" s="23" t="n"/>
      <c r="M13" s="23" t="inlineStr">
        <is>
          <t>Microbridge_Clip insert_541289 (01655)</t>
        </is>
      </c>
      <c r="N13" s="23" t="inlineStr">
        <is>
          <t>MCC Female 180°_Camera testing machine  intergrated in the EOL</t>
        </is>
      </c>
      <c r="O13" s="23" t="inlineStr">
        <is>
          <t>MCC Male 180°_Camera testing machine_741070  intergrated in the EOL</t>
        </is>
      </c>
      <c r="P13" s="23" t="n"/>
      <c r="Q13" s="23" t="n"/>
      <c r="R13" s="23" t="n"/>
      <c r="S13" s="23" t="inlineStr">
        <is>
          <t>Power connector_Packing machine_01729</t>
        </is>
      </c>
      <c r="T13" s="23" t="inlineStr">
        <is>
          <t>RWB Female_EOL _01596</t>
        </is>
      </c>
      <c r="U13" s="23" t="inlineStr">
        <is>
          <t xml:space="preserve">RWB Male_Eberhard 4_Contact insert MES 602_02137 </t>
        </is>
      </c>
    </row>
    <row r="14" ht="21" customHeight="1">
      <c r="A14" s="28" t="n"/>
      <c r="B14" s="23" t="n"/>
      <c r="C14" s="28" t="n"/>
      <c r="D14" s="28" t="inlineStr">
        <is>
          <t>INFORMATIQUE</t>
        </is>
      </c>
      <c r="E14" s="28" t="n"/>
      <c r="F14" s="23" t="inlineStr">
        <is>
          <t>MCB_Male</t>
        </is>
      </c>
      <c r="H14" s="23" t="inlineStr">
        <is>
          <t>Crimp Center 36S_00887</t>
        </is>
      </c>
      <c r="I14" s="23" t="inlineStr">
        <is>
          <t>Optimel SMC B2B B_541194</t>
        </is>
      </c>
      <c r="J14" s="23" t="n"/>
      <c r="K14" s="23" t="inlineStr">
        <is>
          <t>Maxibridge Female Line 6_Printing CRTB1J3G</t>
        </is>
      </c>
      <c r="L14" s="23" t="n"/>
      <c r="M14" s="23" t="inlineStr">
        <is>
          <t>Microbridge_feed cut Clip _541296 (01654)</t>
        </is>
      </c>
      <c r="N14" s="23" t="n"/>
      <c r="O14" s="23" t="n"/>
      <c r="P14" s="23" t="n"/>
      <c r="Q14" s="23" t="n"/>
      <c r="R14" s="23" t="n"/>
      <c r="S14" s="23" t="inlineStr">
        <is>
          <t>Power Connector_Printing_CRTSC1H2E_00613</t>
        </is>
      </c>
      <c r="T14" s="23" t="inlineStr">
        <is>
          <t>RWB Female_Packing BK-05 A_01538 intergrated in the EOL</t>
        </is>
      </c>
      <c r="U14" s="23" t="inlineStr">
        <is>
          <t>RWB Male_Packing machine  BK-05_582150 (01757)</t>
        </is>
      </c>
    </row>
    <row r="15" ht="21" customHeight="1">
      <c r="A15" s="28" t="n"/>
      <c r="B15" s="23" t="n"/>
      <c r="C15" s="28" t="n"/>
      <c r="D15" s="28" t="inlineStr">
        <is>
          <t>PARAMETRES</t>
        </is>
      </c>
      <c r="E15" s="28" t="n"/>
      <c r="F15" s="23" t="inlineStr">
        <is>
          <t>MCC_180_Female</t>
        </is>
      </c>
      <c r="H15" s="23" t="inlineStr">
        <is>
          <t>Junquan cutting and stripping_02319</t>
        </is>
      </c>
      <c r="I15" s="23" t="inlineStr">
        <is>
          <t>SMC Board to Board Adaptor II A_541198 (01744)</t>
        </is>
      </c>
      <c r="J15" s="23" t="n"/>
      <c r="K15" s="23" t="inlineStr">
        <is>
          <t>Maxibridge Female Line 7_01357</t>
        </is>
      </c>
      <c r="L15" s="23" t="n"/>
      <c r="M15" s="23" t="inlineStr">
        <is>
          <t>Microbridge_Seal machine_01616</t>
        </is>
      </c>
      <c r="N15" s="23" t="n"/>
      <c r="O15" s="23" t="n"/>
      <c r="P15" s="23" t="n"/>
      <c r="Q15" s="23" t="n"/>
      <c r="R15" s="23" t="n"/>
      <c r="S15" s="23" t="inlineStr">
        <is>
          <t>Power Connector_Universal OVEN XU343_01736</t>
        </is>
      </c>
      <c r="T15" s="23" t="inlineStr">
        <is>
          <t>RWB Female_Printing CRACTB9C4H_01443  intergrated in the EOL</t>
        </is>
      </c>
      <c r="U15" s="23" t="n"/>
    </row>
    <row r="16" ht="21" customHeight="1">
      <c r="A16" s="28" t="n"/>
      <c r="B16" s="23" t="n"/>
      <c r="C16" s="28" t="n"/>
      <c r="D16" s="28" t="inlineStr">
        <is>
          <t>MAINTENANCE NIVEAU 1</t>
        </is>
      </c>
      <c r="E16" s="28" t="n"/>
      <c r="F16" s="23" t="inlineStr">
        <is>
          <t>MCC_180_Male</t>
        </is>
      </c>
      <c r="G16" s="23" t="n"/>
      <c r="H16" s="23" t="inlineStr">
        <is>
          <t>Ink Jet KGK CCS-R BLUE_CRT4A7I9I</t>
        </is>
      </c>
      <c r="I16" s="23" t="inlineStr">
        <is>
          <t>SMC Board to Board Adaptor II B_541260 (01772)</t>
        </is>
      </c>
      <c r="J16" s="23" t="n"/>
      <c r="K16" s="23" t="inlineStr">
        <is>
          <t>Maxibridge Female Line 7_Printing CRTBIJ3F</t>
        </is>
      </c>
      <c r="L16" s="23" t="n"/>
      <c r="M16" s="23" t="n"/>
      <c r="N16" s="23" t="n"/>
      <c r="O16" s="23" t="n"/>
      <c r="P16" s="23" t="n"/>
      <c r="Q16" s="23" t="n"/>
      <c r="R16" s="23" t="n"/>
      <c r="S16" s="23" t="n"/>
      <c r="T16" s="23" t="n"/>
      <c r="U16" s="23" t="n"/>
    </row>
    <row r="17" ht="21" customHeight="1">
      <c r="A17" s="28" t="n"/>
      <c r="B17" s="23" t="n"/>
      <c r="C17" s="28" t="n"/>
      <c r="D17" s="28" t="inlineStr">
        <is>
          <t>SETUP APPLICATEUR</t>
        </is>
      </c>
      <c r="E17" s="28" t="n"/>
      <c r="F17" s="23" t="inlineStr">
        <is>
          <t>MCC_90_Female</t>
        </is>
      </c>
      <c r="G17" s="23" t="n"/>
      <c r="H17" t="inlineStr">
        <is>
          <t>Ink Jet KGK CCS-R BLUE_CRTSC1E6B</t>
        </is>
      </c>
    </row>
    <row r="18" ht="21" customHeight="1">
      <c r="A18" s="28" t="n"/>
      <c r="B18" s="23" t="n"/>
      <c r="C18" s="28" t="n"/>
      <c r="D18" s="28" t="inlineStr">
        <is>
          <t>CALIBRATION</t>
        </is>
      </c>
      <c r="E18" s="28" t="n"/>
      <c r="F18" s="23" t="inlineStr">
        <is>
          <t>MCC_90_Male</t>
        </is>
      </c>
      <c r="G18" s="23" t="n"/>
      <c r="H18" t="inlineStr">
        <is>
          <t>KMT-20_00252</t>
        </is>
      </c>
    </row>
    <row r="19" ht="21" customHeight="1">
      <c r="A19" s="28" t="n"/>
      <c r="B19" s="23" t="n"/>
      <c r="C19" s="28" t="n"/>
      <c r="D19" s="28" t="n"/>
      <c r="E19" s="28" t="n"/>
      <c r="F19" s="23" t="inlineStr">
        <is>
          <t>MCC_90_Male_Female</t>
        </is>
      </c>
      <c r="G19" s="23" t="n"/>
      <c r="H19" t="inlineStr">
        <is>
          <t>KMT-20_00429</t>
        </is>
      </c>
    </row>
    <row r="20" ht="21" customHeight="1">
      <c r="A20" s="28" t="n"/>
      <c r="B20" s="23" t="n"/>
      <c r="C20" s="28" t="n"/>
      <c r="D20" s="28" t="n"/>
      <c r="E20" s="28" t="n"/>
      <c r="F20" s="23" t="inlineStr">
        <is>
          <t>Power_Connector</t>
        </is>
      </c>
      <c r="G20" s="23" t="n"/>
      <c r="H20" t="inlineStr">
        <is>
          <t>KOMAX 20 CABLE_00927</t>
        </is>
      </c>
      <c r="K20" s="23" t="n"/>
    </row>
    <row r="21" ht="21" customHeight="1">
      <c r="A21" s="28" t="n"/>
      <c r="B21" s="23" t="n"/>
      <c r="C21" s="28" t="n"/>
      <c r="D21" s="28" t="n"/>
      <c r="E21" s="28" t="n"/>
      <c r="F21" s="23" t="inlineStr">
        <is>
          <t>RWB_Female</t>
        </is>
      </c>
      <c r="G21" s="23" t="n"/>
      <c r="H21" t="inlineStr">
        <is>
          <t>AUTOMATIC CUTTING AND STRIPPING_02230</t>
        </is>
      </c>
      <c r="K21" s="23" t="n"/>
    </row>
    <row r="22" ht="21" customHeight="1">
      <c r="A22" s="28" t="n"/>
      <c r="B22" s="23" t="n"/>
      <c r="C22" s="28" t="n"/>
      <c r="D22" s="28" t="n"/>
      <c r="E22" s="28" t="n"/>
      <c r="F22" s="23" t="inlineStr">
        <is>
          <t>RWB Male</t>
        </is>
      </c>
      <c r="G22" s="23" t="n"/>
      <c r="H22" t="inlineStr">
        <is>
          <t>Cross Section Monitor_CS-05W_01920</t>
        </is>
      </c>
      <c r="K22" s="23" t="n"/>
    </row>
    <row r="23" ht="21" customHeight="1">
      <c r="A23" s="28" t="n"/>
      <c r="B23" s="23" t="n"/>
      <c r="C23" s="28" t="n"/>
      <c r="D23" s="28" t="n"/>
      <c r="E23" s="28" t="n"/>
      <c r="F23" s="23" t="n"/>
      <c r="G23" s="23" t="n"/>
      <c r="H23" t="inlineStr">
        <is>
          <t>Roller Printing</t>
        </is>
      </c>
      <c r="K23" s="23" t="n"/>
    </row>
    <row r="24" ht="21" customHeight="1">
      <c r="H24" t="inlineStr">
        <is>
          <t>Test Stand SJH 500_50246</t>
        </is>
      </c>
      <c r="K24" s="23" t="n"/>
    </row>
    <row r="25" ht="21" customHeight="1">
      <c r="H25" t="inlineStr">
        <is>
          <t>Tube Cutting Machine_02404</t>
        </is>
      </c>
      <c r="K25" s="23" t="n"/>
    </row>
    <row r="26" ht="21" customHeight="1">
      <c r="H26" t="inlineStr">
        <is>
          <t>UniStrip  2015_01316</t>
        </is>
      </c>
      <c r="K26" s="23" t="n"/>
    </row>
    <row r="27" ht="21" customHeight="1">
      <c r="H27" t="inlineStr">
        <is>
          <t>WDT CABLE_00928</t>
        </is>
      </c>
      <c r="K27" s="23" t="n"/>
    </row>
    <row r="28">
      <c r="H28" t="inlineStr">
        <is>
          <t>WDT CABLE_50238</t>
        </is>
      </c>
    </row>
    <row r="29">
      <c r="H29" t="inlineStr">
        <is>
          <t>Wele Microbridge Automet 90°_02288</t>
        </is>
      </c>
    </row>
    <row r="30">
      <c r="H30" t="inlineStr">
        <is>
          <t>Wele Minibridge Automet 180°_01587</t>
        </is>
      </c>
    </row>
    <row r="31">
      <c r="H31" t="inlineStr">
        <is>
          <t>Wele Minibridge Automet 180°_01780</t>
        </is>
      </c>
    </row>
    <row r="32">
      <c r="H32" t="inlineStr">
        <is>
          <t>Wele Minibridge Automet 180°_02237</t>
        </is>
      </c>
    </row>
    <row r="33">
      <c r="H33" t="inlineStr">
        <is>
          <t>Wele Minibridge Automet 90°_01586</t>
        </is>
      </c>
    </row>
    <row r="34">
      <c r="H34" t="inlineStr">
        <is>
          <t>Wele Minibridge Automet 90°_01781</t>
        </is>
      </c>
    </row>
    <row r="35">
      <c r="H35" t="inlineStr">
        <is>
          <t>Wele Minibridge Automet 90°_01894</t>
        </is>
      </c>
    </row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</sheetData>
  <mergeCells count="4">
    <mergeCell ref="A1:B2"/>
    <mergeCell ref="A4:N4"/>
    <mergeCell ref="C2:L2"/>
    <mergeCell ref="C1:L1"/>
  </mergeCells>
  <conditionalFormatting sqref="B9">
    <cfRule type="cellIs" priority="4" operator="equal" dxfId="0">
      <formula>"Terminer"</formula>
    </cfRule>
  </conditionalFormatting>
  <conditionalFormatting sqref="B10">
    <cfRule type="cellIs" priority="2" operator="equal" dxfId="1">
      <formula>"En cours"</formula>
    </cfRule>
  </conditionalFormatting>
  <conditionalFormatting sqref="C9:D9">
    <cfRule type="cellIs" priority="3" operator="equal" dxfId="0">
      <formula>"Terminer"</formula>
    </cfRule>
  </conditionalFormatting>
  <pageMargins left="0.7" right="0.7" top="0.75" bottom="0.75" header="0.3" footer="0.3"/>
  <drawing xmlns:r="http://schemas.openxmlformats.org/officeDocument/2006/relationships" r:id="rId1"/>
  <tableParts count="2">
    <tablePart xmlns:r="http://schemas.openxmlformats.org/officeDocument/2006/relationships" r:id="rId2"/>
    <tablePart xmlns:r="http://schemas.openxmlformats.org/officeDocument/2006/relationships" r:id="rId3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Senouni, Khadija</dc:creator>
  <dcterms:created xmlns:dcterms="http://purl.org/dc/terms/" xmlns:xsi="http://www.w3.org/2001/XMLSchema-instance" xsi:type="dcterms:W3CDTF">2024-12-05T14:11:06Z</dcterms:created>
  <dcterms:modified xmlns:dcterms="http://purl.org/dc/terms/" xmlns:xsi="http://www.w3.org/2001/XMLSchema-instance" xsi:type="dcterms:W3CDTF">2026-07-24T10:49:58Z</dcterms:modified>
  <cp:lastModifiedBy>Ait Chaib, Othman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0x010100D125863E5F8E384B9ACE568C83A00093</vt:lpwstr>
  </property>
</Properties>
</file>